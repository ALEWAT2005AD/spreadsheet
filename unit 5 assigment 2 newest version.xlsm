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 /><Relationship Id="rId2" Type="http://schemas.openxmlformats.org/package/2006/relationships/metadata/core-properties" Target="docProps/core.xml" /><Relationship Id="rId1" Type="http://schemas.openxmlformats.org/officeDocument/2006/relationships/officeDocument" Target="xl/workbook.xml" /><Relationship Id="rId4" Type="http://schemas.openxmlformats.org/officeDocument/2006/relationships/custom-properties" Target="docProps/custom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gloscolac-my.sharepoint.com/personal/5235283_student_gloscol_ac_uk/Documents/U05 Data Modelling - Olamide/assigment2/"/>
    </mc:Choice>
  </mc:AlternateContent>
  <xr:revisionPtr revIDLastSave="0" documentId="8_{ECF31E95-AE84-384B-AABB-1C6E084CA82A}" xr6:coauthVersionLast="47" xr6:coauthVersionMax="47" xr10:uidLastSave="{00000000-0000-0000-0000-000000000000}"/>
  <bookViews>
    <workbookView xWindow="-120" yWindow="-120" windowWidth="29040" windowHeight="15720" activeTab="2" xr2:uid="{4680D60A-EF7A-4384-9A81-DD6AD7A8B6F7}"/>
  </bookViews>
  <sheets>
    <sheet name="home page" sheetId="1" r:id="rId1"/>
    <sheet name="costs and profits" sheetId="2" r:id="rId2"/>
    <sheet name="inflation" sheetId="3" r:id="rId3"/>
    <sheet name="Sheet1" sheetId="4" r:id="rId4"/>
    <sheet name="Sheet3" sheetId="6" r:id="rId5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2" i="2" l="1"/>
  <c r="G6" i="3"/>
  <c r="I7" i="3"/>
  <c r="J7" i="3"/>
  <c r="I10" i="3"/>
  <c r="J10" i="3"/>
  <c r="I9" i="3"/>
  <c r="J9" i="3"/>
  <c r="I8" i="3"/>
  <c r="J8" i="3"/>
  <c r="R23" i="3"/>
  <c r="P23" i="3"/>
  <c r="J11" i="3"/>
  <c r="N23" i="3"/>
  <c r="R16" i="3"/>
  <c r="I6" i="3"/>
  <c r="P16" i="3"/>
  <c r="I11" i="3"/>
  <c r="N16" i="3"/>
  <c r="J12" i="2"/>
  <c r="I12" i="3"/>
  <c r="I14" i="3"/>
  <c r="J12" i="3"/>
  <c r="J6" i="3"/>
  <c r="J14" i="3"/>
</calcChain>
</file>

<file path=xl/sharedStrings.xml><?xml version="1.0" encoding="utf-8"?>
<sst xmlns="http://schemas.openxmlformats.org/spreadsheetml/2006/main" count="1278" uniqueCount="131">
  <si>
    <t xml:space="preserve">home page </t>
  </si>
  <si>
    <t>current costs of the busniess</t>
  </si>
  <si>
    <t xml:space="preserve">monthly cost </t>
  </si>
  <si>
    <t xml:space="preserve">yearly cost </t>
  </si>
  <si>
    <t>sales percentage increase</t>
  </si>
  <si>
    <t>sales</t>
  </si>
  <si>
    <t>staff costs</t>
  </si>
  <si>
    <t>none</t>
  </si>
  <si>
    <t>Rent</t>
  </si>
  <si>
    <t>radio</t>
  </si>
  <si>
    <t>stock</t>
  </si>
  <si>
    <t>paper</t>
  </si>
  <si>
    <t xml:space="preserve">equipment </t>
  </si>
  <si>
    <t>yell.com</t>
  </si>
  <si>
    <t xml:space="preserve">advertisment costs </t>
  </si>
  <si>
    <t>website</t>
  </si>
  <si>
    <t xml:space="preserve">total costs </t>
  </si>
  <si>
    <t xml:space="preserve">total profit </t>
  </si>
  <si>
    <t>monthly cost</t>
  </si>
  <si>
    <t>yearly cost</t>
  </si>
  <si>
    <t>Company</t>
  </si>
  <si>
    <t>First Name</t>
  </si>
  <si>
    <t>Last Name</t>
  </si>
  <si>
    <t>Order Date</t>
  </si>
  <si>
    <t>Quantity</t>
  </si>
  <si>
    <t>Unit Price</t>
  </si>
  <si>
    <t>Discount</t>
  </si>
  <si>
    <t>Product Code</t>
  </si>
  <si>
    <t>Product Name</t>
  </si>
  <si>
    <t>Standard Cost</t>
  </si>
  <si>
    <t>List Price</t>
  </si>
  <si>
    <t>Company AA</t>
  </si>
  <si>
    <t>Karen</t>
  </si>
  <si>
    <t>Toh</t>
  </si>
  <si>
    <t>B-34</t>
  </si>
  <si>
    <t>Beer</t>
  </si>
  <si>
    <t>DFN-80</t>
  </si>
  <si>
    <t>Dried Plums</t>
  </si>
  <si>
    <t>Company D</t>
  </si>
  <si>
    <t>Christina</t>
  </si>
  <si>
    <t>Lee</t>
  </si>
  <si>
    <t>DFN-7</t>
  </si>
  <si>
    <t>Dried Pears</t>
  </si>
  <si>
    <t>DFN-51</t>
  </si>
  <si>
    <t>Dried Apples</t>
  </si>
  <si>
    <t>Company L</t>
  </si>
  <si>
    <t>John</t>
  </si>
  <si>
    <t>Edwards</t>
  </si>
  <si>
    <t>B-1</t>
  </si>
  <si>
    <t>Chai</t>
  </si>
  <si>
    <t>B-43</t>
  </si>
  <si>
    <t>Coffee</t>
  </si>
  <si>
    <t>Company H</t>
  </si>
  <si>
    <t>Elizabeth</t>
  </si>
  <si>
    <t>Andersen</t>
  </si>
  <si>
    <t>BGM-19</t>
  </si>
  <si>
    <t>Chocolate Biscuits Mix</t>
  </si>
  <si>
    <t>Company CC</t>
  </si>
  <si>
    <t>Soo Jung</t>
  </si>
  <si>
    <t>CA-48</t>
  </si>
  <si>
    <t>Chocolate</t>
  </si>
  <si>
    <t>Company C</t>
  </si>
  <si>
    <t>Thomas</t>
  </si>
  <si>
    <t>Axen</t>
  </si>
  <si>
    <t>SO-41</t>
  </si>
  <si>
    <t>Clam Chowder</t>
  </si>
  <si>
    <t>Company F</t>
  </si>
  <si>
    <t>Francisco</t>
  </si>
  <si>
    <t>Pérez-Olaeta</t>
  </si>
  <si>
    <t>S-8</t>
  </si>
  <si>
    <t>Curry Sauce</t>
  </si>
  <si>
    <t>Company BB</t>
  </si>
  <si>
    <t>Amritansh</t>
  </si>
  <si>
    <t>Raghav</t>
  </si>
  <si>
    <t>Company J</t>
  </si>
  <si>
    <t>Roland</t>
  </si>
  <si>
    <t>Wacker</t>
  </si>
  <si>
    <t>B-81</t>
  </si>
  <si>
    <t>Green Tea</t>
  </si>
  <si>
    <t>Company G</t>
  </si>
  <si>
    <t>Ming-Yang</t>
  </si>
  <si>
    <t>Xie</t>
  </si>
  <si>
    <t>JP-6</t>
  </si>
  <si>
    <t>Boysenberry Spread</t>
  </si>
  <si>
    <t>CO-4</t>
  </si>
  <si>
    <t>Cajun Seasoning</t>
  </si>
  <si>
    <t>Company K</t>
  </si>
  <si>
    <t>Peter</t>
  </si>
  <si>
    <t>Krschne</t>
  </si>
  <si>
    <t>Company A</t>
  </si>
  <si>
    <t>Anna</t>
  </si>
  <si>
    <t>Bedecs</t>
  </si>
  <si>
    <t>CM-40</t>
  </si>
  <si>
    <t>Crab Meat</t>
  </si>
  <si>
    <t>Company I</t>
  </si>
  <si>
    <t>Sven</t>
  </si>
  <si>
    <t>Mortensen</t>
  </si>
  <si>
    <t>P-57</t>
  </si>
  <si>
    <t>Ravioli</t>
  </si>
  <si>
    <t>D-72</t>
  </si>
  <si>
    <t>Mozzarella</t>
  </si>
  <si>
    <t>Company Y</t>
  </si>
  <si>
    <t>Rodman</t>
  </si>
  <si>
    <t>BGM-21</t>
  </si>
  <si>
    <t>Scones</t>
  </si>
  <si>
    <t>Company Z</t>
  </si>
  <si>
    <t>Run</t>
  </si>
  <si>
    <t>Liu</t>
  </si>
  <si>
    <t>O-5</t>
  </si>
  <si>
    <t>Olive Oil</t>
  </si>
  <si>
    <t>CFV-17</t>
  </si>
  <si>
    <t>Fruit Cocktail</t>
  </si>
  <si>
    <t>DFN-74</t>
  </si>
  <si>
    <t>Almonds</t>
  </si>
  <si>
    <t>CO-3</t>
  </si>
  <si>
    <t>Syrup</t>
  </si>
  <si>
    <t>Marmalade</t>
  </si>
  <si>
    <t>G-52</t>
  </si>
  <si>
    <t>Long Grain Rice</t>
  </si>
  <si>
    <t>P-56</t>
  </si>
  <si>
    <t>Gnocchi</t>
  </si>
  <si>
    <t>Company E</t>
  </si>
  <si>
    <t>Martin</t>
  </si>
  <si>
    <t>O’Donnell</t>
  </si>
  <si>
    <t>SO-99</t>
  </si>
  <si>
    <t>Chicken Soup</t>
  </si>
  <si>
    <t>Sales</t>
  </si>
  <si>
    <t>increase inflation 2023</t>
  </si>
  <si>
    <t>increase inflation 2024</t>
  </si>
  <si>
    <t>option 2023</t>
  </si>
  <si>
    <t>option 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</si>
</sst>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18"/>
      <color theme="1"/>
      <name val="Aptos Narrow"/>
      <family val="2"/>
      <scheme val="minor"/>
    </font>
    <font>
      <sz val="20"/>
      <color theme="1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20"/>
      <color rgb="FF0070C0"/>
      <name val="Aptos Narrow"/>
      <family val="2"/>
      <scheme val="minor"/>
    </font>
    <font>
      <sz val="11"/>
      <color rgb="FF0070C0"/>
      <name val="Aptos Narrow"/>
      <family val="2"/>
      <scheme val="minor"/>
    </font>
    <font>
      <sz val="1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1" xfId="0" applyBorder="1"/>
    <xf numFmtId="0" fontId="0" fillId="2" borderId="0" xfId="0" applyFill="1"/>
    <xf numFmtId="0" fontId="0" fillId="0" borderId="1" xfId="0" applyBorder="1" applyAlignment="1">
      <alignment wrapText="1"/>
    </xf>
    <xf numFmtId="0" fontId="0" fillId="3" borderId="0" xfId="0" applyFill="1"/>
    <xf numFmtId="3" fontId="0" fillId="0" borderId="1" xfId="0" applyNumberFormat="1" applyBorder="1"/>
    <xf numFmtId="0" fontId="0" fillId="2" borderId="0" xfId="0" applyFill="1" applyAlignment="1">
      <alignment wrapText="1"/>
    </xf>
    <xf numFmtId="0" fontId="0" fillId="3" borderId="1" xfId="0" applyFill="1" applyBorder="1"/>
    <xf numFmtId="0" fontId="1" fillId="2" borderId="0" xfId="0" applyFont="1" applyFill="1"/>
    <xf numFmtId="22" fontId="0" fillId="0" borderId="0" xfId="0" applyNumberFormat="1"/>
    <xf numFmtId="0" fontId="6" fillId="2" borderId="0" xfId="0" applyFont="1" applyFill="1"/>
    <xf numFmtId="0" fontId="2" fillId="2" borderId="0" xfId="0" applyFont="1" applyFill="1" applyAlignment="1">
      <alignment horizontal="center" wrapText="1"/>
    </xf>
    <xf numFmtId="0" fontId="3" fillId="2" borderId="0" xfId="0" applyFont="1" applyFill="1" applyAlignment="1">
      <alignment horizontal="center" wrapText="1"/>
    </xf>
    <xf numFmtId="0" fontId="4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0" fillId="0" borderId="1" xfId="0" applyBorder="1" applyAlignment="1">
      <alignment horizontal="center" wrapText="1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 wrapText="1"/>
    </xf>
    <xf numFmtId="0" fontId="7" fillId="3" borderId="0" xfId="0" applyFont="1" applyFill="1" applyAlignment="1">
      <alignment horizontal="center" wrapText="1"/>
    </xf>
    <xf numFmtId="0" fontId="6" fillId="3" borderId="0" xfId="0" applyFont="1" applyFill="1" applyAlignment="1">
      <alignment horizontal="center" wrapText="1"/>
    </xf>
    <xf numFmtId="0" fontId="7" fillId="3" borderId="0" xfId="0" applyFont="1" applyFill="1" applyAlignment="1">
      <alignment horizontal="center"/>
    </xf>
    <xf numFmtId="0" fontId="0" fillId="0" borderId="4" xfId="0" applyBorder="1" applyAlignment="1">
      <alignment horizontal="center"/>
    </xf>
    <xf numFmtId="0" fontId="5" fillId="2" borderId="0" xfId="0" applyFont="1" applyFill="1" applyAlignment="1">
      <alignment horizontal="center"/>
    </xf>
    <xf numFmtId="0" fontId="6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 /><Relationship Id="rId13" Type="http://schemas.microsoft.com/office/2006/relationships/vbaProject" Target="vbaProject.bin" /><Relationship Id="rId3" Type="http://schemas.openxmlformats.org/officeDocument/2006/relationships/worksheet" Target="worksheets/sheet3.xml" /><Relationship Id="rId7" Type="http://schemas.openxmlformats.org/officeDocument/2006/relationships/styles" Target="styles.xml" /><Relationship Id="rId12" Type="http://schemas.openxmlformats.org/officeDocument/2006/relationships/customXml" Target="../customXml/item3.xml" /><Relationship Id="rId2" Type="http://schemas.openxmlformats.org/officeDocument/2006/relationships/worksheet" Target="worksheets/sheet2.xml" /><Relationship Id="rId1" Type="http://schemas.openxmlformats.org/officeDocument/2006/relationships/worksheet" Target="worksheets/sheet1.xml" /><Relationship Id="rId6" Type="http://schemas.openxmlformats.org/officeDocument/2006/relationships/theme" Target="theme/theme1.xml" /><Relationship Id="rId11" Type="http://schemas.openxmlformats.org/officeDocument/2006/relationships/customXml" Target="../customXml/item2.xml" /><Relationship Id="rId5" Type="http://schemas.openxmlformats.org/officeDocument/2006/relationships/worksheet" Target="worksheets/sheet5.xml" /><Relationship Id="rId10" Type="http://schemas.openxmlformats.org/officeDocument/2006/relationships/customXml" Target="../customXml/item1.xml" /><Relationship Id="rId4" Type="http://schemas.openxmlformats.org/officeDocument/2006/relationships/worksheet" Target="worksheets/sheet4.xml" /><Relationship Id="rId9" Type="http://schemas.openxmlformats.org/officeDocument/2006/relationships/calcChain" Target="calcChain.xml" 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 /><Relationship Id="rId1" Type="http://schemas.microsoft.com/office/2011/relationships/chartStyle" Target="style1.xml" 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1"/>
          <c:order val="1"/>
          <c:tx>
            <c:strRef>
              <c:f>inflation!$G$5</c:f>
              <c:strCache>
                <c:ptCount val="1"/>
                <c:pt idx="0">
                  <c:v>2021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inflation!$E$6:$E$12</c:f>
              <c:strCache>
                <c:ptCount val="7"/>
                <c:pt idx="0">
                  <c:v>sales</c:v>
                </c:pt>
                <c:pt idx="1">
                  <c:v>staff costs</c:v>
                </c:pt>
                <c:pt idx="2">
                  <c:v>Rent</c:v>
                </c:pt>
                <c:pt idx="3">
                  <c:v>stock</c:v>
                </c:pt>
                <c:pt idx="4">
                  <c:v>equipment </c:v>
                </c:pt>
                <c:pt idx="5">
                  <c:v>advertisment costs </c:v>
                </c:pt>
                <c:pt idx="6">
                  <c:v>total costs </c:v>
                </c:pt>
              </c:strCache>
            </c:strRef>
          </c:cat>
          <c:val>
            <c:numRef>
              <c:f>inflation!$G$6:$G$12</c:f>
              <c:numCache>
                <c:formatCode>#,##0</c:formatCode>
                <c:ptCount val="7"/>
                <c:pt idx="0">
                  <c:v>270117.89999999997</c:v>
                </c:pt>
                <c:pt idx="1">
                  <c:v>3600</c:v>
                </c:pt>
                <c:pt idx="2">
                  <c:v>24000</c:v>
                </c:pt>
                <c:pt idx="3" formatCode="General">
                  <c:v>120000</c:v>
                </c:pt>
                <c:pt idx="4" formatCode="General">
                  <c:v>1000</c:v>
                </c:pt>
                <c:pt idx="5" formatCode="General">
                  <c:v>18000</c:v>
                </c:pt>
                <c:pt idx="6" formatCode="General">
                  <c:v>208000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BB-4D44-BF08-C1BC4D6E3C78}"/>
            </c:ext>
          </c:extLst>
        </c:ser>
        <c:ser>
          <c:idx val="2"/>
          <c:order val="2"/>
          <c:tx>
            <c:strRef>
              <c:f>inflation!$H$5</c:f>
              <c:strCache>
                <c:ptCount val="1"/>
                <c:pt idx="0">
                  <c:v>2022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inflation!$E$6:$E$12</c:f>
              <c:strCache>
                <c:ptCount val="7"/>
                <c:pt idx="0">
                  <c:v>sales</c:v>
                </c:pt>
                <c:pt idx="1">
                  <c:v>staff costs</c:v>
                </c:pt>
                <c:pt idx="2">
                  <c:v>Rent</c:v>
                </c:pt>
                <c:pt idx="3">
                  <c:v>stock</c:v>
                </c:pt>
                <c:pt idx="4">
                  <c:v>equipment </c:v>
                </c:pt>
                <c:pt idx="5">
                  <c:v>advertisment costs </c:v>
                </c:pt>
                <c:pt idx="6">
                  <c:v>total costs </c:v>
                </c:pt>
              </c:strCache>
            </c:strRef>
          </c:cat>
          <c:val>
            <c:numRef>
              <c:f>inflation!$H$6:$H$12</c:f>
              <c:numCache>
                <c:formatCode>General</c:formatCode>
                <c:ptCount val="7"/>
                <c:pt idx="0">
                  <c:v>260455</c:v>
                </c:pt>
                <c:pt idx="1">
                  <c:v>36900</c:v>
                </c:pt>
                <c:pt idx="2">
                  <c:v>24600</c:v>
                </c:pt>
                <c:pt idx="3">
                  <c:v>123000</c:v>
                </c:pt>
                <c:pt idx="4">
                  <c:v>10250</c:v>
                </c:pt>
                <c:pt idx="5">
                  <c:v>18000</c:v>
                </c:pt>
                <c:pt idx="6">
                  <c:v>212750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BB-4D44-BF08-C1BC4D6E3C78}"/>
            </c:ext>
          </c:extLst>
        </c:ser>
        <c:ser>
          <c:idx val="3"/>
          <c:order val="3"/>
          <c:tx>
            <c:strRef>
              <c:f>inflation!$I$5</c:f>
              <c:strCache>
                <c:ptCount val="1"/>
                <c:pt idx="0">
                  <c:v>2023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inflation!$E$6:$E$12</c:f>
              <c:strCache>
                <c:ptCount val="7"/>
                <c:pt idx="0">
                  <c:v>sales</c:v>
                </c:pt>
                <c:pt idx="1">
                  <c:v>staff costs</c:v>
                </c:pt>
                <c:pt idx="2">
                  <c:v>Rent</c:v>
                </c:pt>
                <c:pt idx="3">
                  <c:v>stock</c:v>
                </c:pt>
                <c:pt idx="4">
                  <c:v>equipment </c:v>
                </c:pt>
                <c:pt idx="5">
                  <c:v>advertisment costs </c:v>
                </c:pt>
                <c:pt idx="6">
                  <c:v>total costs </c:v>
                </c:pt>
              </c:strCache>
            </c:strRef>
          </c:cat>
          <c:val>
            <c:numRef>
              <c:f>inflation!$I$6:$I$12</c:f>
              <c:numCache>
                <c:formatCode>General</c:formatCode>
                <c:ptCount val="7"/>
                <c:pt idx="0">
                  <c:v>263059.55</c:v>
                </c:pt>
                <c:pt idx="1">
                  <c:v>40221</c:v>
                </c:pt>
                <c:pt idx="2">
                  <c:v>26814</c:v>
                </c:pt>
                <c:pt idx="3">
                  <c:v>134070</c:v>
                </c:pt>
                <c:pt idx="4">
                  <c:v>11172.5</c:v>
                </c:pt>
                <c:pt idx="5">
                  <c:v>18000</c:v>
                </c:pt>
                <c:pt idx="6">
                  <c:v>230277.5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DBB-4D44-BF08-C1BC4D6E3C78}"/>
            </c:ext>
          </c:extLst>
        </c:ser>
        <c:ser>
          <c:idx val="4"/>
          <c:order val="4"/>
          <c:tx>
            <c:strRef>
              <c:f>inflation!$J$5</c:f>
              <c:strCache>
                <c:ptCount val="1"/>
                <c:pt idx="0">
                  <c:v>2024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inflation!$E$6:$E$12</c:f>
              <c:strCache>
                <c:ptCount val="7"/>
                <c:pt idx="0">
                  <c:v>sales</c:v>
                </c:pt>
                <c:pt idx="1">
                  <c:v>staff costs</c:v>
                </c:pt>
                <c:pt idx="2">
                  <c:v>Rent</c:v>
                </c:pt>
                <c:pt idx="3">
                  <c:v>stock</c:v>
                </c:pt>
                <c:pt idx="4">
                  <c:v>equipment </c:v>
                </c:pt>
                <c:pt idx="5">
                  <c:v>advertisment costs </c:v>
                </c:pt>
                <c:pt idx="6">
                  <c:v>total costs </c:v>
                </c:pt>
              </c:strCache>
            </c:strRef>
          </c:cat>
          <c:val>
            <c:numRef>
              <c:f>inflation!$J$6:$J$12</c:f>
              <c:numCache>
                <c:formatCode>General</c:formatCode>
                <c:ptCount val="7"/>
                <c:pt idx="0">
                  <c:v>789178.64999999991</c:v>
                </c:pt>
                <c:pt idx="1">
                  <c:v>40221</c:v>
                </c:pt>
                <c:pt idx="2">
                  <c:v>29227.26</c:v>
                </c:pt>
                <c:pt idx="3">
                  <c:v>146136.29999999999</c:v>
                </c:pt>
                <c:pt idx="4">
                  <c:v>12178.025</c:v>
                </c:pt>
                <c:pt idx="5">
                  <c:v>30000</c:v>
                </c:pt>
                <c:pt idx="6">
                  <c:v>257762.58499999999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DBB-4D44-BF08-C1BC4D6E3C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330791424"/>
        <c:axId val="3307947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inflation!$F$5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inflation!$E$6:$E$12</c15:sqref>
                        </c15:formulaRef>
                      </c:ext>
                    </c:extLst>
                    <c:strCache>
                      <c:ptCount val="7"/>
                      <c:pt idx="0">
                        <c:v>sales</c:v>
                      </c:pt>
                      <c:pt idx="1">
                        <c:v>staff costs</c:v>
                      </c:pt>
                      <c:pt idx="2">
                        <c:v>Rent</c:v>
                      </c:pt>
                      <c:pt idx="3">
                        <c:v>stock</c:v>
                      </c:pt>
                      <c:pt idx="4">
                        <c:v>equipment </c:v>
                      </c:pt>
                      <c:pt idx="5">
                        <c:v>advertisment costs </c:v>
                      </c:pt>
                      <c:pt idx="6">
                        <c:v>total costs 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inflation!$F$6:$F$12</c15:sqref>
                        </c15:formulaRef>
                      </c:ext>
                    </c:extLst>
                    <c:numCache>
                      <c:formatCode>General</c:formatCode>
                      <c:ptCount val="7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4-6DBB-4D44-BF08-C1BC4D6E3C78}"/>
                  </c:ext>
                </c:extLst>
              </c15:ser>
            </c15:filteredBarSeries>
          </c:ext>
        </c:extLst>
      </c:barChart>
      <c:catAx>
        <c:axId val="3307914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794784"/>
        <c:crosses val="autoZero"/>
        <c:auto val="1"/>
        <c:lblAlgn val="ctr"/>
        <c:lblOffset val="100"/>
        <c:noMultiLvlLbl val="0"/>
      </c:catAx>
      <c:valAx>
        <c:axId val="330794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791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home page'!A1" /><Relationship Id="rId2" Type="http://schemas.openxmlformats.org/officeDocument/2006/relationships/hyperlink" Target="#inflation!A1" /><Relationship Id="rId1" Type="http://schemas.openxmlformats.org/officeDocument/2006/relationships/hyperlink" Target="#'costs and profits'!A1" 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'home page'!A1" /><Relationship Id="rId2" Type="http://schemas.openxmlformats.org/officeDocument/2006/relationships/hyperlink" Target="#inflation!A1" /><Relationship Id="rId1" Type="http://schemas.openxmlformats.org/officeDocument/2006/relationships/hyperlink" Target="#'costs and profits'!A1" 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'home page'!A1" /><Relationship Id="rId2" Type="http://schemas.openxmlformats.org/officeDocument/2006/relationships/hyperlink" Target="#inflation!A1" /><Relationship Id="rId1" Type="http://schemas.openxmlformats.org/officeDocument/2006/relationships/hyperlink" Target="#'costs and profits'!A1" /><Relationship Id="rId4" Type="http://schemas.openxmlformats.org/officeDocument/2006/relationships/chart" Target="../charts/chart1.xml" 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257175</xdr:colOff>
      <xdr:row>16</xdr:row>
      <xdr:rowOff>19050</xdr:rowOff>
    </xdr:from>
    <xdr:to>
      <xdr:col>10</xdr:col>
      <xdr:colOff>123825</xdr:colOff>
      <xdr:row>22</xdr:row>
      <xdr:rowOff>57150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B9DC296-B0BC-A869-807B-36BFA715ED2F}"/>
            </a:ext>
          </a:extLst>
        </xdr:cNvPr>
        <xdr:cNvSpPr/>
      </xdr:nvSpPr>
      <xdr:spPr>
        <a:xfrm>
          <a:off x="3914775" y="3067050"/>
          <a:ext cx="2305050" cy="11811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GB" sz="2000"/>
            <a:t>information</a:t>
          </a:r>
          <a:r>
            <a:rPr lang="en-GB" sz="2000" baseline="0"/>
            <a:t> about costs and profits without inflation </a:t>
          </a:r>
          <a:endParaRPr lang="en-GB" sz="2000"/>
        </a:p>
      </xdr:txBody>
    </xdr:sp>
    <xdr:clientData/>
  </xdr:twoCellAnchor>
  <xdr:twoCellAnchor>
    <xdr:from>
      <xdr:col>11</xdr:col>
      <xdr:colOff>457200</xdr:colOff>
      <xdr:row>16</xdr:row>
      <xdr:rowOff>76200</xdr:rowOff>
    </xdr:from>
    <xdr:to>
      <xdr:col>15</xdr:col>
      <xdr:colOff>142875</xdr:colOff>
      <xdr:row>22</xdr:row>
      <xdr:rowOff>9525</xdr:rowOff>
    </xdr:to>
    <xdr:sp macro="" textlink="">
      <xdr:nvSpPr>
        <xdr:cNvPr id="3" name="Rectangl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3F3C0FC-7C74-67A1-B97D-F4D70DD7F2F9}"/>
            </a:ext>
          </a:extLst>
        </xdr:cNvPr>
        <xdr:cNvSpPr/>
      </xdr:nvSpPr>
      <xdr:spPr>
        <a:xfrm>
          <a:off x="7162800" y="3124200"/>
          <a:ext cx="2124075" cy="107632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GB" sz="2000"/>
            <a:t>costs and  profits with inflation </a:t>
          </a:r>
        </a:p>
      </xdr:txBody>
    </xdr:sp>
    <xdr:clientData/>
  </xdr:twoCellAnchor>
  <xdr:twoCellAnchor>
    <xdr:from>
      <xdr:col>16</xdr:col>
      <xdr:colOff>142875</xdr:colOff>
      <xdr:row>16</xdr:row>
      <xdr:rowOff>85726</xdr:rowOff>
    </xdr:from>
    <xdr:to>
      <xdr:col>19</xdr:col>
      <xdr:colOff>219075</xdr:colOff>
      <xdr:row>21</xdr:row>
      <xdr:rowOff>161926</xdr:rowOff>
    </xdr:to>
    <xdr:sp macro="" textlink="">
      <xdr:nvSpPr>
        <xdr:cNvPr id="4" name="Rectangl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6FA6EA0-A278-BDA5-96F2-447BA525D82D}"/>
            </a:ext>
          </a:extLst>
        </xdr:cNvPr>
        <xdr:cNvSpPr/>
      </xdr:nvSpPr>
      <xdr:spPr>
        <a:xfrm>
          <a:off x="9896475" y="3133726"/>
          <a:ext cx="1905000" cy="10287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GB" sz="2000"/>
            <a:t>home</a:t>
          </a:r>
          <a:r>
            <a:rPr lang="en-GB" sz="2000" baseline="0"/>
            <a:t> page </a:t>
          </a:r>
          <a:endParaRPr lang="en-GB" sz="20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257175</xdr:colOff>
      <xdr:row>25</xdr:row>
      <xdr:rowOff>19050</xdr:rowOff>
    </xdr:from>
    <xdr:to>
      <xdr:col>10</xdr:col>
      <xdr:colOff>123825</xdr:colOff>
      <xdr:row>31</xdr:row>
      <xdr:rowOff>57150</xdr:rowOff>
    </xdr:to>
    <xdr:sp macro="" textlink="">
      <xdr:nvSpPr>
        <xdr:cNvPr id="8" name="Rectangle 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92BA6C3-ACDD-4AF1-BF69-A32F7755BE5F}"/>
            </a:ext>
          </a:extLst>
        </xdr:cNvPr>
        <xdr:cNvSpPr/>
      </xdr:nvSpPr>
      <xdr:spPr>
        <a:xfrm>
          <a:off x="3914775" y="3067050"/>
          <a:ext cx="2305050" cy="11811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GB" sz="2000"/>
            <a:t>information</a:t>
          </a:r>
          <a:r>
            <a:rPr lang="en-GB" sz="2000" baseline="0"/>
            <a:t> about costs and profits without inflation </a:t>
          </a:r>
          <a:endParaRPr lang="en-GB" sz="2000"/>
        </a:p>
      </xdr:txBody>
    </xdr:sp>
    <xdr:clientData/>
  </xdr:twoCellAnchor>
  <xdr:twoCellAnchor>
    <xdr:from>
      <xdr:col>11</xdr:col>
      <xdr:colOff>457200</xdr:colOff>
      <xdr:row>25</xdr:row>
      <xdr:rowOff>76200</xdr:rowOff>
    </xdr:from>
    <xdr:to>
      <xdr:col>15</xdr:col>
      <xdr:colOff>142875</xdr:colOff>
      <xdr:row>31</xdr:row>
      <xdr:rowOff>9525</xdr:rowOff>
    </xdr:to>
    <xdr:sp macro="" textlink="">
      <xdr:nvSpPr>
        <xdr:cNvPr id="9" name="Rectangle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34277EE-EBBF-4AC3-8232-8F6ED50DF019}"/>
            </a:ext>
          </a:extLst>
        </xdr:cNvPr>
        <xdr:cNvSpPr/>
      </xdr:nvSpPr>
      <xdr:spPr>
        <a:xfrm>
          <a:off x="7162800" y="3124200"/>
          <a:ext cx="2124075" cy="107632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GB" sz="2000"/>
            <a:t>costs and  profits with inflation </a:t>
          </a:r>
        </a:p>
      </xdr:txBody>
    </xdr:sp>
    <xdr:clientData/>
  </xdr:twoCellAnchor>
  <xdr:twoCellAnchor>
    <xdr:from>
      <xdr:col>16</xdr:col>
      <xdr:colOff>142875</xdr:colOff>
      <xdr:row>25</xdr:row>
      <xdr:rowOff>85726</xdr:rowOff>
    </xdr:from>
    <xdr:to>
      <xdr:col>19</xdr:col>
      <xdr:colOff>219075</xdr:colOff>
      <xdr:row>30</xdr:row>
      <xdr:rowOff>161926</xdr:rowOff>
    </xdr:to>
    <xdr:sp macro="" textlink="">
      <xdr:nvSpPr>
        <xdr:cNvPr id="10" name="Rectangle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E9DEA65-2C94-42C3-A9DB-FC8D9293C51A}"/>
            </a:ext>
          </a:extLst>
        </xdr:cNvPr>
        <xdr:cNvSpPr/>
      </xdr:nvSpPr>
      <xdr:spPr>
        <a:xfrm>
          <a:off x="9896475" y="3133726"/>
          <a:ext cx="1905000" cy="10287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GB" sz="2000"/>
            <a:t>home</a:t>
          </a:r>
          <a:r>
            <a:rPr lang="en-GB" sz="2000" baseline="0"/>
            <a:t> page </a:t>
          </a:r>
          <a:endParaRPr lang="en-GB" sz="20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257175</xdr:colOff>
      <xdr:row>34</xdr:row>
      <xdr:rowOff>19050</xdr:rowOff>
    </xdr:from>
    <xdr:to>
      <xdr:col>10</xdr:col>
      <xdr:colOff>123825</xdr:colOff>
      <xdr:row>40</xdr:row>
      <xdr:rowOff>57150</xdr:rowOff>
    </xdr:to>
    <xdr:sp macro="" textlink="">
      <xdr:nvSpPr>
        <xdr:cNvPr id="8" name="Rectangle 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482D7E8-0147-42E5-BA93-DA897398F9C9}"/>
            </a:ext>
          </a:extLst>
        </xdr:cNvPr>
        <xdr:cNvSpPr/>
      </xdr:nvSpPr>
      <xdr:spPr>
        <a:xfrm>
          <a:off x="3914775" y="4781550"/>
          <a:ext cx="2305050" cy="11811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GB" sz="2000"/>
            <a:t>information</a:t>
          </a:r>
          <a:r>
            <a:rPr lang="en-GB" sz="2000" baseline="0"/>
            <a:t> about costs and profits without inflation </a:t>
          </a:r>
          <a:endParaRPr lang="en-GB" sz="2000"/>
        </a:p>
      </xdr:txBody>
    </xdr:sp>
    <xdr:clientData/>
  </xdr:twoCellAnchor>
  <xdr:twoCellAnchor>
    <xdr:from>
      <xdr:col>11</xdr:col>
      <xdr:colOff>457200</xdr:colOff>
      <xdr:row>34</xdr:row>
      <xdr:rowOff>76200</xdr:rowOff>
    </xdr:from>
    <xdr:to>
      <xdr:col>15</xdr:col>
      <xdr:colOff>142875</xdr:colOff>
      <xdr:row>40</xdr:row>
      <xdr:rowOff>9525</xdr:rowOff>
    </xdr:to>
    <xdr:sp macro="" textlink="">
      <xdr:nvSpPr>
        <xdr:cNvPr id="9" name="Rectangle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23CEF90-62AE-44A1-819F-84F24B34A6F7}"/>
            </a:ext>
          </a:extLst>
        </xdr:cNvPr>
        <xdr:cNvSpPr/>
      </xdr:nvSpPr>
      <xdr:spPr>
        <a:xfrm>
          <a:off x="7162800" y="4838700"/>
          <a:ext cx="2124075" cy="107632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GB" sz="2000"/>
            <a:t>costs and  profits with inflation </a:t>
          </a:r>
        </a:p>
      </xdr:txBody>
    </xdr:sp>
    <xdr:clientData/>
  </xdr:twoCellAnchor>
  <xdr:twoCellAnchor>
    <xdr:from>
      <xdr:col>16</xdr:col>
      <xdr:colOff>142875</xdr:colOff>
      <xdr:row>34</xdr:row>
      <xdr:rowOff>85726</xdr:rowOff>
    </xdr:from>
    <xdr:to>
      <xdr:col>19</xdr:col>
      <xdr:colOff>219075</xdr:colOff>
      <xdr:row>39</xdr:row>
      <xdr:rowOff>161926</xdr:rowOff>
    </xdr:to>
    <xdr:sp macro="" textlink="">
      <xdr:nvSpPr>
        <xdr:cNvPr id="10" name="Rectangle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F4A3F06-C312-4400-AB43-CF5C0B9C1491}"/>
            </a:ext>
          </a:extLst>
        </xdr:cNvPr>
        <xdr:cNvSpPr/>
      </xdr:nvSpPr>
      <xdr:spPr>
        <a:xfrm>
          <a:off x="9896475" y="4848226"/>
          <a:ext cx="1905000" cy="10287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GB" sz="2000"/>
            <a:t>home</a:t>
          </a:r>
          <a:r>
            <a:rPr lang="en-GB" sz="2000" baseline="0"/>
            <a:t> page </a:t>
          </a:r>
          <a:endParaRPr lang="en-GB" sz="2000"/>
        </a:p>
      </xdr:txBody>
    </xdr:sp>
    <xdr:clientData/>
  </xdr:twoCellAnchor>
  <xdr:twoCellAnchor>
    <xdr:from>
      <xdr:col>20</xdr:col>
      <xdr:colOff>438150</xdr:colOff>
      <xdr:row>6</xdr:row>
      <xdr:rowOff>95250</xdr:rowOff>
    </xdr:from>
    <xdr:to>
      <xdr:col>28</xdr:col>
      <xdr:colOff>133350</xdr:colOff>
      <xdr:row>20</xdr:row>
      <xdr:rowOff>171450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CCB12780-10E9-4CF3-9EBB-B1083D30AD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 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 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 /><Relationship Id="rId1" Type="http://schemas.openxmlformats.org/officeDocument/2006/relationships/printerSettings" Target="../printerSettings/printerSettings1.bin" 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7BC9F-9E5E-4AA5-9229-050B6BBBDA5C}">
  <sheetPr codeName="Sheet1"/>
  <dimension ref="A1:AD42"/>
  <sheetViews>
    <sheetView workbookViewId="0">
      <selection activeCell="K13" sqref="K13"/>
    </sheetView>
  </sheetViews>
  <sheetFormatPr defaultRowHeight="15" x14ac:dyDescent="0.2"/>
  <sheetData>
    <row r="1" spans="1:30" x14ac:dyDescent="0.2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</row>
    <row r="2" spans="1:30" x14ac:dyDescent="0.2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</row>
    <row r="3" spans="1:30" x14ac:dyDescent="0.2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</row>
    <row r="4" spans="1:30" x14ac:dyDescent="0.2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</row>
    <row r="5" spans="1:30" x14ac:dyDescent="0.2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</row>
    <row r="6" spans="1:30" x14ac:dyDescent="0.2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</row>
    <row r="7" spans="1:30" x14ac:dyDescent="0.2">
      <c r="A7" s="2"/>
      <c r="B7" s="2"/>
      <c r="C7" s="2"/>
      <c r="D7" s="2"/>
      <c r="E7" s="2"/>
      <c r="F7" s="2"/>
      <c r="G7" s="2"/>
      <c r="H7" s="2"/>
      <c r="I7" s="13" t="s">
        <v>0</v>
      </c>
      <c r="J7" s="14"/>
      <c r="K7" s="14"/>
      <c r="L7" s="14"/>
      <c r="M7" s="14"/>
      <c r="N7" s="14"/>
      <c r="O7" s="14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</row>
    <row r="8" spans="1:30" x14ac:dyDescent="0.2">
      <c r="A8" s="2"/>
      <c r="B8" s="2"/>
      <c r="C8" s="2"/>
      <c r="D8" s="2"/>
      <c r="E8" s="2"/>
      <c r="F8" s="2"/>
      <c r="G8" s="2"/>
      <c r="H8" s="2"/>
      <c r="I8" s="14"/>
      <c r="J8" s="14"/>
      <c r="K8" s="14"/>
      <c r="L8" s="14"/>
      <c r="M8" s="14"/>
      <c r="N8" s="14"/>
      <c r="O8" s="14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</row>
    <row r="9" spans="1:30" x14ac:dyDescent="0.2">
      <c r="A9" s="2"/>
      <c r="B9" s="2"/>
      <c r="C9" s="2"/>
      <c r="D9" s="2"/>
      <c r="E9" s="2"/>
      <c r="F9" s="2"/>
      <c r="G9" s="2"/>
      <c r="H9" s="2"/>
      <c r="I9" s="14"/>
      <c r="J9" s="14"/>
      <c r="K9" s="14"/>
      <c r="L9" s="14"/>
      <c r="M9" s="14"/>
      <c r="N9" s="14"/>
      <c r="O9" s="14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4"/>
    </row>
    <row r="10" spans="1:30" x14ac:dyDescent="0.2">
      <c r="A10" s="2"/>
      <c r="B10" s="2"/>
      <c r="C10" s="2"/>
      <c r="D10" s="2"/>
      <c r="E10" s="2"/>
      <c r="F10" s="2"/>
      <c r="G10" s="2"/>
      <c r="H10" s="2"/>
      <c r="I10" s="14"/>
      <c r="J10" s="14"/>
      <c r="K10" s="14"/>
      <c r="L10" s="14"/>
      <c r="M10" s="14"/>
      <c r="N10" s="14"/>
      <c r="O10" s="14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4"/>
    </row>
    <row r="11" spans="1:30" x14ac:dyDescent="0.2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4"/>
    </row>
    <row r="12" spans="1:30" x14ac:dyDescent="0.2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4"/>
    </row>
    <row r="13" spans="1:30" x14ac:dyDescent="0.2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4"/>
    </row>
    <row r="14" spans="1:30" x14ac:dyDescent="0.2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4"/>
    </row>
    <row r="15" spans="1:30" x14ac:dyDescent="0.2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4"/>
    </row>
    <row r="16" spans="1:30" x14ac:dyDescent="0.2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4"/>
    </row>
    <row r="17" spans="1:30" x14ac:dyDescent="0.2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4"/>
    </row>
    <row r="18" spans="1:30" ht="15" customHeight="1" x14ac:dyDescent="0.2">
      <c r="A18" s="2"/>
      <c r="B18" s="2"/>
      <c r="C18" s="2"/>
      <c r="D18" s="2"/>
      <c r="E18" s="2"/>
      <c r="F18" s="2"/>
      <c r="G18" s="2"/>
      <c r="H18" s="12"/>
      <c r="I18" s="12"/>
      <c r="J18" s="12"/>
      <c r="K18" s="2"/>
      <c r="L18" s="11"/>
      <c r="M18" s="11"/>
      <c r="N18" s="11"/>
      <c r="O18" s="2"/>
      <c r="P18" s="12"/>
      <c r="Q18" s="12"/>
      <c r="R18" s="1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</row>
    <row r="19" spans="1:30" ht="15" customHeight="1" x14ac:dyDescent="0.2">
      <c r="A19" s="2"/>
      <c r="B19" s="2"/>
      <c r="C19" s="2"/>
      <c r="D19" s="2"/>
      <c r="E19" s="2"/>
      <c r="F19" s="2"/>
      <c r="G19" s="2"/>
      <c r="H19" s="12"/>
      <c r="I19" s="12"/>
      <c r="J19" s="12"/>
      <c r="K19" s="2"/>
      <c r="L19" s="11"/>
      <c r="M19" s="11"/>
      <c r="N19" s="11"/>
      <c r="O19" s="2"/>
      <c r="P19" s="12"/>
      <c r="Q19" s="12"/>
      <c r="R19" s="1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</row>
    <row r="20" spans="1:30" ht="15" customHeight="1" x14ac:dyDescent="0.2">
      <c r="A20" s="2"/>
      <c r="B20" s="2"/>
      <c r="C20" s="2"/>
      <c r="D20" s="2"/>
      <c r="E20" s="2"/>
      <c r="F20" s="2"/>
      <c r="G20" s="2"/>
      <c r="H20" s="12"/>
      <c r="I20" s="12"/>
      <c r="J20" s="12"/>
      <c r="K20" s="2"/>
      <c r="L20" s="11"/>
      <c r="M20" s="11"/>
      <c r="N20" s="11"/>
      <c r="O20" s="2"/>
      <c r="P20" s="12"/>
      <c r="Q20" s="12"/>
      <c r="R20" s="1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</row>
    <row r="21" spans="1:30" ht="15" customHeight="1" x14ac:dyDescent="0.2">
      <c r="A21" s="2"/>
      <c r="B21" s="2"/>
      <c r="C21" s="2"/>
      <c r="D21" s="2"/>
      <c r="E21" s="2"/>
      <c r="F21" s="2"/>
      <c r="G21" s="2"/>
      <c r="H21" s="12"/>
      <c r="I21" s="12"/>
      <c r="J21" s="12"/>
      <c r="K21" s="2"/>
      <c r="L21" s="11"/>
      <c r="M21" s="11"/>
      <c r="N21" s="11"/>
      <c r="O21" s="2"/>
      <c r="P21" s="12"/>
      <c r="Q21" s="12"/>
      <c r="R21" s="1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</row>
    <row r="22" spans="1:30" x14ac:dyDescent="0.2">
      <c r="A22" s="2"/>
      <c r="B22" s="2"/>
      <c r="C22" s="2"/>
      <c r="D22" s="2"/>
      <c r="E22" s="2"/>
      <c r="F22" s="2"/>
      <c r="G22" s="2"/>
      <c r="H22" s="12"/>
      <c r="I22" s="12"/>
      <c r="J22" s="12"/>
      <c r="K22" s="2"/>
      <c r="L22" s="11"/>
      <c r="M22" s="11"/>
      <c r="N22" s="11"/>
      <c r="O22" s="2"/>
      <c r="P22" s="12"/>
      <c r="Q22" s="12"/>
      <c r="R22" s="1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</row>
    <row r="23" spans="1:30" x14ac:dyDescent="0.2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</row>
    <row r="24" spans="1:30" x14ac:dyDescent="0.2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</row>
    <row r="25" spans="1:30" x14ac:dyDescent="0.2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</row>
    <row r="26" spans="1:30" x14ac:dyDescent="0.2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</row>
    <row r="27" spans="1:30" x14ac:dyDescent="0.2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</row>
    <row r="28" spans="1:30" x14ac:dyDescent="0.2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</row>
    <row r="29" spans="1:30" x14ac:dyDescent="0.2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</row>
    <row r="30" spans="1:30" x14ac:dyDescent="0.2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</row>
    <row r="31" spans="1:30" x14ac:dyDescent="0.2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</row>
    <row r="32" spans="1:30" x14ac:dyDescent="0.2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</row>
    <row r="33" spans="1:29" x14ac:dyDescent="0.2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</row>
    <row r="34" spans="1:29" x14ac:dyDescent="0.2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</row>
    <row r="35" spans="1:29" x14ac:dyDescent="0.2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</row>
    <row r="36" spans="1:29" x14ac:dyDescent="0.2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</row>
    <row r="37" spans="1:29" x14ac:dyDescent="0.2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</row>
    <row r="38" spans="1:29" x14ac:dyDescent="0.2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</row>
    <row r="39" spans="1:29" x14ac:dyDescent="0.2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</row>
    <row r="40" spans="1:29" x14ac:dyDescent="0.2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</row>
    <row r="41" spans="1:29" x14ac:dyDescent="0.2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</row>
    <row r="42" spans="1:29" x14ac:dyDescent="0.2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</row>
  </sheetData>
  <mergeCells count="4">
    <mergeCell ref="L18:N22"/>
    <mergeCell ref="P18:R22"/>
    <mergeCell ref="I7:O10"/>
    <mergeCell ref="H18:J2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AEB1EF-44ED-4976-8903-892061C248E5}">
  <sheetPr codeName="Sheet2"/>
  <dimension ref="A1:AC42"/>
  <sheetViews>
    <sheetView workbookViewId="0"/>
  </sheetViews>
  <sheetFormatPr defaultRowHeight="15" x14ac:dyDescent="0.2"/>
  <sheetData>
    <row r="1" spans="1:29" x14ac:dyDescent="0.2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</row>
    <row r="2" spans="1:29" x14ac:dyDescent="0.2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</row>
    <row r="3" spans="1:29" x14ac:dyDescent="0.2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</row>
    <row r="4" spans="1:29" x14ac:dyDescent="0.2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</row>
    <row r="5" spans="1:29" x14ac:dyDescent="0.2">
      <c r="A5" s="2"/>
      <c r="B5" s="2"/>
      <c r="C5" s="2"/>
      <c r="D5" s="2"/>
      <c r="E5" s="2"/>
      <c r="F5" s="2"/>
      <c r="G5" s="2"/>
      <c r="H5" s="2"/>
      <c r="I5" s="15" t="s">
        <v>1</v>
      </c>
      <c r="J5" s="15"/>
      <c r="K5" s="15"/>
      <c r="L5" s="15"/>
      <c r="M5" s="15"/>
      <c r="N5" s="15"/>
      <c r="O5" s="15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</row>
    <row r="6" spans="1:29" x14ac:dyDescent="0.2">
      <c r="A6" s="2"/>
      <c r="B6" s="2"/>
      <c r="C6" s="2"/>
      <c r="D6" s="2"/>
      <c r="E6" s="2"/>
      <c r="F6" s="2"/>
      <c r="G6" s="2"/>
      <c r="H6" s="2"/>
      <c r="I6" s="15"/>
      <c r="J6" s="15"/>
      <c r="K6" s="15"/>
      <c r="L6" s="15"/>
      <c r="M6" s="15"/>
      <c r="N6" s="15"/>
      <c r="O6" s="15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</row>
    <row r="7" spans="1:29" x14ac:dyDescent="0.2">
      <c r="A7" s="2"/>
      <c r="B7" s="2"/>
      <c r="C7" s="2"/>
      <c r="D7" s="2"/>
      <c r="E7" s="2"/>
      <c r="F7" s="2"/>
      <c r="G7" s="2"/>
      <c r="H7" s="2"/>
      <c r="I7" s="15"/>
      <c r="J7" s="15"/>
      <c r="K7" s="15"/>
      <c r="L7" s="15"/>
      <c r="M7" s="15"/>
      <c r="N7" s="15"/>
      <c r="O7" s="15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</row>
    <row r="8" spans="1:29" x14ac:dyDescent="0.2">
      <c r="A8" s="2"/>
      <c r="B8" s="2"/>
      <c r="C8" s="2"/>
      <c r="D8" s="2"/>
      <c r="E8" s="2"/>
      <c r="F8" s="2"/>
      <c r="G8" s="2"/>
      <c r="H8" s="2"/>
      <c r="I8" s="15"/>
      <c r="J8" s="15"/>
      <c r="K8" s="15"/>
      <c r="L8" s="15"/>
      <c r="M8" s="15"/>
      <c r="N8" s="15"/>
      <c r="O8" s="15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</row>
    <row r="9" spans="1:29" x14ac:dyDescent="0.2">
      <c r="A9" s="2"/>
      <c r="B9" s="2"/>
      <c r="C9" s="2"/>
      <c r="D9" s="2"/>
      <c r="E9" s="2"/>
      <c r="F9" s="2"/>
      <c r="G9" s="2"/>
      <c r="H9" s="2"/>
      <c r="I9" s="15"/>
      <c r="J9" s="15"/>
      <c r="K9" s="15"/>
      <c r="L9" s="15"/>
      <c r="M9" s="15"/>
      <c r="N9" s="15"/>
      <c r="O9" s="15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</row>
    <row r="10" spans="1:29" x14ac:dyDescent="0.2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</row>
    <row r="11" spans="1:29" ht="15" customHeight="1" x14ac:dyDescent="0.2">
      <c r="A11" s="2"/>
      <c r="B11" s="2"/>
      <c r="C11" s="2"/>
      <c r="D11" s="2"/>
      <c r="E11" s="2"/>
      <c r="F11" s="2"/>
      <c r="G11" s="2"/>
      <c r="H11" s="2"/>
      <c r="I11" s="1">
        <v>2021</v>
      </c>
      <c r="J11" s="1">
        <v>2022</v>
      </c>
      <c r="K11" s="2"/>
      <c r="L11" s="6"/>
      <c r="M11" s="6"/>
      <c r="N11" s="6"/>
      <c r="O11" s="16" t="s">
        <v>2</v>
      </c>
      <c r="P11" s="16" t="s">
        <v>3</v>
      </c>
      <c r="Q11" s="14" t="s">
        <v>4</v>
      </c>
      <c r="R11" s="14"/>
      <c r="S11" s="14"/>
      <c r="T11" s="2"/>
      <c r="U11" s="2"/>
      <c r="V11" s="2"/>
      <c r="W11" s="2"/>
      <c r="X11" s="2"/>
      <c r="Y11" s="2"/>
      <c r="Z11" s="2"/>
      <c r="AA11" s="2"/>
      <c r="AB11" s="2"/>
      <c r="AC11" s="2"/>
    </row>
    <row r="12" spans="1:29" x14ac:dyDescent="0.2">
      <c r="A12" s="2"/>
      <c r="B12" s="2"/>
      <c r="C12" s="2"/>
      <c r="D12" s="2"/>
      <c r="E12" s="2"/>
      <c r="F12" s="2"/>
      <c r="G12" s="14" t="s">
        <v>5</v>
      </c>
      <c r="H12" s="14"/>
      <c r="I12" s="5">
        <f>SUM(Sheet1!L2:L123)</f>
        <v>270117.89999999997</v>
      </c>
      <c r="J12" s="1">
        <f>SUM(Sheet1!L123:L125)</f>
        <v>3000.8062500000005</v>
      </c>
      <c r="K12" s="2"/>
      <c r="L12" s="6"/>
      <c r="M12" s="6"/>
      <c r="N12" s="6"/>
      <c r="O12" s="16"/>
      <c r="P12" s="16"/>
      <c r="Q12" s="14"/>
      <c r="R12" s="14"/>
      <c r="S12" s="14"/>
      <c r="T12" s="2"/>
      <c r="U12" s="2"/>
      <c r="V12" s="2"/>
      <c r="W12" s="2"/>
      <c r="X12" s="2"/>
      <c r="Y12" s="2"/>
      <c r="Z12" s="2"/>
      <c r="AA12" s="2"/>
      <c r="AB12" s="2"/>
      <c r="AC12" s="2"/>
    </row>
    <row r="13" spans="1:29" x14ac:dyDescent="0.2">
      <c r="A13" s="2"/>
      <c r="B13" s="2"/>
      <c r="C13" s="2"/>
      <c r="D13" s="2"/>
      <c r="E13" s="2"/>
      <c r="F13" s="2"/>
      <c r="G13" s="14" t="s">
        <v>6</v>
      </c>
      <c r="H13" s="14"/>
      <c r="I13" s="5">
        <v>3600</v>
      </c>
      <c r="J13" s="1">
        <v>36900</v>
      </c>
      <c r="K13" s="2"/>
      <c r="L13" s="6"/>
      <c r="M13" s="6"/>
      <c r="N13" s="3" t="s">
        <v>7</v>
      </c>
      <c r="O13" s="3">
        <v>0</v>
      </c>
      <c r="P13" s="1">
        <v>0</v>
      </c>
      <c r="Q13" s="14">
        <v>0</v>
      </c>
      <c r="R13" s="14"/>
      <c r="S13" s="14"/>
      <c r="T13" s="2"/>
      <c r="U13" s="2"/>
      <c r="V13" s="2"/>
      <c r="W13" s="2"/>
      <c r="X13" s="2"/>
      <c r="Y13" s="2"/>
      <c r="Z13" s="2"/>
      <c r="AA13" s="2"/>
      <c r="AB13" s="2"/>
      <c r="AC13" s="2"/>
    </row>
    <row r="14" spans="1:29" x14ac:dyDescent="0.2">
      <c r="A14" s="2"/>
      <c r="B14" s="2"/>
      <c r="C14" s="2"/>
      <c r="D14" s="2"/>
      <c r="E14" s="2"/>
      <c r="F14" s="2"/>
      <c r="G14" s="14" t="s">
        <v>8</v>
      </c>
      <c r="H14" s="14"/>
      <c r="I14" s="5">
        <v>24000</v>
      </c>
      <c r="J14" s="1">
        <v>24600</v>
      </c>
      <c r="K14" s="2"/>
      <c r="L14" s="2"/>
      <c r="M14" s="2"/>
      <c r="N14" s="1" t="s">
        <v>9</v>
      </c>
      <c r="O14" s="5">
        <v>2500</v>
      </c>
      <c r="P14" s="5">
        <v>30000</v>
      </c>
      <c r="Q14" s="14">
        <v>2</v>
      </c>
      <c r="R14" s="14"/>
      <c r="S14" s="14"/>
      <c r="T14" s="2"/>
      <c r="U14" s="2"/>
      <c r="V14" s="2"/>
      <c r="W14" s="2"/>
      <c r="X14" s="2"/>
      <c r="Y14" s="2"/>
      <c r="Z14" s="2"/>
      <c r="AA14" s="2"/>
      <c r="AB14" s="2"/>
      <c r="AC14" s="2"/>
    </row>
    <row r="15" spans="1:29" x14ac:dyDescent="0.2">
      <c r="A15" s="2"/>
      <c r="B15" s="2"/>
      <c r="C15" s="2"/>
      <c r="D15" s="2"/>
      <c r="E15" s="2"/>
      <c r="F15" s="2"/>
      <c r="G15" s="14" t="s">
        <v>10</v>
      </c>
      <c r="H15" s="14"/>
      <c r="I15" s="1">
        <v>120000</v>
      </c>
      <c r="J15" s="1">
        <v>123000</v>
      </c>
      <c r="K15" s="2"/>
      <c r="L15" s="2"/>
      <c r="M15" s="2"/>
      <c r="N15" s="1" t="s">
        <v>11</v>
      </c>
      <c r="O15" s="5">
        <v>1500</v>
      </c>
      <c r="P15" s="5">
        <v>18000</v>
      </c>
      <c r="Q15" s="14">
        <v>1</v>
      </c>
      <c r="R15" s="14"/>
      <c r="S15" s="14"/>
      <c r="T15" s="2"/>
      <c r="U15" s="2"/>
      <c r="V15" s="2"/>
      <c r="W15" s="2"/>
      <c r="X15" s="2"/>
      <c r="Y15" s="2"/>
      <c r="Z15" s="2"/>
      <c r="AA15" s="2"/>
      <c r="AB15" s="2"/>
      <c r="AC15" s="2"/>
    </row>
    <row r="16" spans="1:29" x14ac:dyDescent="0.2">
      <c r="A16" s="2"/>
      <c r="B16" s="2"/>
      <c r="C16" s="2"/>
      <c r="D16" s="2"/>
      <c r="E16" s="2"/>
      <c r="F16" s="2"/>
      <c r="G16" s="14" t="s">
        <v>12</v>
      </c>
      <c r="H16" s="14"/>
      <c r="I16" s="1">
        <v>1000</v>
      </c>
      <c r="J16" s="1">
        <v>10250</v>
      </c>
      <c r="K16" s="2"/>
      <c r="L16" s="2"/>
      <c r="M16" s="2"/>
      <c r="N16" s="3" t="s">
        <v>13</v>
      </c>
      <c r="O16" s="5">
        <v>3000</v>
      </c>
      <c r="P16" s="5">
        <v>36000</v>
      </c>
      <c r="Q16" s="14">
        <v>0.5</v>
      </c>
      <c r="R16" s="14"/>
      <c r="S16" s="14"/>
      <c r="T16" s="2"/>
      <c r="U16" s="2"/>
      <c r="V16" s="2"/>
      <c r="W16" s="2"/>
      <c r="X16" s="2"/>
      <c r="Y16" s="2"/>
      <c r="Z16" s="2"/>
      <c r="AA16" s="2"/>
      <c r="AB16" s="2"/>
      <c r="AC16" s="2"/>
    </row>
    <row r="17" spans="1:29" x14ac:dyDescent="0.2">
      <c r="A17" s="2"/>
      <c r="B17" s="2"/>
      <c r="C17" s="2"/>
      <c r="D17" s="2"/>
      <c r="E17" s="2"/>
      <c r="F17" s="2"/>
      <c r="G17" s="14" t="s">
        <v>14</v>
      </c>
      <c r="H17" s="14"/>
      <c r="I17" s="1">
        <v>18000</v>
      </c>
      <c r="J17" s="1">
        <v>18000</v>
      </c>
      <c r="K17" s="2"/>
      <c r="L17" s="2"/>
      <c r="M17" s="2"/>
      <c r="N17" s="3" t="s">
        <v>15</v>
      </c>
      <c r="O17" s="5">
        <v>2000</v>
      </c>
      <c r="P17" s="5">
        <v>24000</v>
      </c>
      <c r="Q17" s="14">
        <v>9.5</v>
      </c>
      <c r="R17" s="14"/>
      <c r="S17" s="14"/>
      <c r="T17" s="2"/>
      <c r="U17" s="2"/>
      <c r="V17" s="2"/>
      <c r="W17" s="2"/>
      <c r="X17" s="2"/>
      <c r="Y17" s="2"/>
      <c r="Z17" s="2"/>
      <c r="AA17" s="2"/>
      <c r="AB17" s="2"/>
      <c r="AC17" s="2"/>
    </row>
    <row r="18" spans="1:29" x14ac:dyDescent="0.2">
      <c r="A18" s="2"/>
      <c r="B18" s="2"/>
      <c r="C18" s="2"/>
      <c r="D18" s="2"/>
      <c r="E18" s="2"/>
      <c r="F18" s="2"/>
      <c r="G18" s="14" t="s">
        <v>16</v>
      </c>
      <c r="H18" s="14"/>
      <c r="I18" s="1">
        <v>208000</v>
      </c>
      <c r="J18" s="1">
        <v>212750</v>
      </c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</row>
    <row r="19" spans="1:29" x14ac:dyDescent="0.2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</row>
    <row r="20" spans="1:29" x14ac:dyDescent="0.2">
      <c r="A20" s="2"/>
      <c r="B20" s="2"/>
      <c r="C20" s="2"/>
      <c r="D20" s="2"/>
      <c r="E20" s="2"/>
      <c r="F20" s="2"/>
      <c r="G20" s="17" t="s">
        <v>17</v>
      </c>
      <c r="H20" s="18"/>
      <c r="I20" s="1">
        <v>62118</v>
      </c>
      <c r="J20" s="1">
        <v>47705</v>
      </c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</row>
    <row r="21" spans="1:29" x14ac:dyDescent="0.2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</row>
    <row r="22" spans="1:29" x14ac:dyDescent="0.2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</row>
    <row r="23" spans="1:29" x14ac:dyDescent="0.2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</row>
    <row r="24" spans="1:29" x14ac:dyDescent="0.2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</row>
    <row r="25" spans="1:29" ht="15" customHeight="1" x14ac:dyDescent="0.2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</row>
    <row r="26" spans="1:29" ht="15" customHeight="1" x14ac:dyDescent="0.2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</row>
    <row r="27" spans="1:29" ht="15" customHeight="1" x14ac:dyDescent="0.2">
      <c r="A27" s="2"/>
      <c r="B27" s="2"/>
      <c r="C27" s="2"/>
      <c r="D27" s="2"/>
      <c r="E27" s="2"/>
      <c r="F27" s="2"/>
      <c r="G27" s="2"/>
      <c r="H27" s="12"/>
      <c r="I27" s="12"/>
      <c r="J27" s="12"/>
      <c r="K27" s="2"/>
      <c r="L27" s="11"/>
      <c r="M27" s="11"/>
      <c r="N27" s="11"/>
      <c r="O27" s="2"/>
      <c r="P27" s="12"/>
      <c r="Q27" s="12"/>
      <c r="R27" s="1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</row>
    <row r="28" spans="1:29" ht="15" customHeight="1" x14ac:dyDescent="0.2">
      <c r="A28" s="2"/>
      <c r="B28" s="2"/>
      <c r="C28" s="2"/>
      <c r="D28" s="2"/>
      <c r="E28" s="2"/>
      <c r="F28" s="2"/>
      <c r="G28" s="2"/>
      <c r="H28" s="12"/>
      <c r="I28" s="12"/>
      <c r="J28" s="12"/>
      <c r="K28" s="2"/>
      <c r="L28" s="11"/>
      <c r="M28" s="11"/>
      <c r="N28" s="11"/>
      <c r="O28" s="2"/>
      <c r="P28" s="12"/>
      <c r="Q28" s="12"/>
      <c r="R28" s="1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</row>
    <row r="29" spans="1:29" ht="15" customHeight="1" x14ac:dyDescent="0.2">
      <c r="A29" s="2"/>
      <c r="B29" s="2"/>
      <c r="C29" s="2"/>
      <c r="D29" s="2"/>
      <c r="E29" s="2"/>
      <c r="F29" s="2"/>
      <c r="G29" s="2"/>
      <c r="H29" s="12"/>
      <c r="I29" s="12"/>
      <c r="J29" s="12"/>
      <c r="K29" s="2"/>
      <c r="L29" s="11"/>
      <c r="M29" s="11"/>
      <c r="N29" s="11"/>
      <c r="O29" s="2"/>
      <c r="P29" s="12"/>
      <c r="Q29" s="12"/>
      <c r="R29" s="1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</row>
    <row r="30" spans="1:29" ht="15" customHeight="1" x14ac:dyDescent="0.2">
      <c r="A30" s="2"/>
      <c r="B30" s="2"/>
      <c r="C30" s="2"/>
      <c r="D30" s="2"/>
      <c r="E30" s="2"/>
      <c r="F30" s="2"/>
      <c r="G30" s="2"/>
      <c r="H30" s="12"/>
      <c r="I30" s="12"/>
      <c r="J30" s="12"/>
      <c r="K30" s="2"/>
      <c r="L30" s="11"/>
      <c r="M30" s="11"/>
      <c r="N30" s="11"/>
      <c r="O30" s="2"/>
      <c r="P30" s="12"/>
      <c r="Q30" s="12"/>
      <c r="R30" s="1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</row>
    <row r="31" spans="1:29" ht="15" customHeight="1" x14ac:dyDescent="0.2">
      <c r="A31" s="2"/>
      <c r="B31" s="2"/>
      <c r="C31" s="2"/>
      <c r="D31" s="2"/>
      <c r="E31" s="2"/>
      <c r="F31" s="2"/>
      <c r="G31" s="2"/>
      <c r="H31" s="12"/>
      <c r="I31" s="12"/>
      <c r="J31" s="12"/>
      <c r="K31" s="2"/>
      <c r="L31" s="11"/>
      <c r="M31" s="11"/>
      <c r="N31" s="11"/>
      <c r="O31" s="2"/>
      <c r="P31" s="12"/>
      <c r="Q31" s="12"/>
      <c r="R31" s="1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</row>
    <row r="32" spans="1:29" x14ac:dyDescent="0.2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</row>
    <row r="33" spans="1:29" x14ac:dyDescent="0.2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</row>
    <row r="34" spans="1:29" x14ac:dyDescent="0.2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</row>
    <row r="35" spans="1:29" x14ac:dyDescent="0.2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</row>
    <row r="36" spans="1:29" x14ac:dyDescent="0.2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</row>
    <row r="37" spans="1:29" x14ac:dyDescent="0.2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</row>
    <row r="38" spans="1:29" x14ac:dyDescent="0.2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</row>
    <row r="39" spans="1:29" x14ac:dyDescent="0.2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</row>
    <row r="40" spans="1:29" x14ac:dyDescent="0.2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</row>
    <row r="41" spans="1:29" x14ac:dyDescent="0.2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</row>
    <row r="42" spans="1:29" x14ac:dyDescent="0.2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</row>
  </sheetData>
  <mergeCells count="20">
    <mergeCell ref="H27:J31"/>
    <mergeCell ref="L27:N31"/>
    <mergeCell ref="P27:R31"/>
    <mergeCell ref="Q11:S12"/>
    <mergeCell ref="Q13:S13"/>
    <mergeCell ref="Q14:S14"/>
    <mergeCell ref="Q15:S15"/>
    <mergeCell ref="Q16:S16"/>
    <mergeCell ref="Q17:S17"/>
    <mergeCell ref="O11:O12"/>
    <mergeCell ref="P11:P12"/>
    <mergeCell ref="G18:H18"/>
    <mergeCell ref="G20:H20"/>
    <mergeCell ref="G17:H17"/>
    <mergeCell ref="I5:O9"/>
    <mergeCell ref="G13:H13"/>
    <mergeCell ref="G14:H14"/>
    <mergeCell ref="G15:H15"/>
    <mergeCell ref="G16:H16"/>
    <mergeCell ref="G12:H1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A9AA82-A2F0-4E46-B525-CCC3F76EDA06}">
  <sheetPr codeName="Sheet3"/>
  <dimension ref="A1:AD58"/>
  <sheetViews>
    <sheetView tabSelected="1" topLeftCell="E10" zoomScale="90" zoomScaleNormal="90" workbookViewId="0">
      <selection activeCell="G19" sqref="G19:G20"/>
    </sheetView>
  </sheetViews>
  <sheetFormatPr defaultRowHeight="15" x14ac:dyDescent="0.2"/>
  <cols>
    <col min="5" max="5" width="9.14453125" customWidth="1"/>
    <col min="9" max="9" width="12.23828125" bestFit="1" customWidth="1"/>
    <col min="10" max="10" width="14.2578125" bestFit="1" customWidth="1"/>
    <col min="13" max="13" width="11.703125" customWidth="1"/>
  </cols>
  <sheetData>
    <row r="1" spans="1:30" x14ac:dyDescent="0.2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</row>
    <row r="2" spans="1:30" x14ac:dyDescent="0.2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</row>
    <row r="3" spans="1:30" x14ac:dyDescent="0.2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30" x14ac:dyDescent="0.2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</row>
    <row r="5" spans="1:30" x14ac:dyDescent="0.2">
      <c r="A5" s="2"/>
      <c r="B5" s="2"/>
      <c r="C5" s="2"/>
      <c r="D5" s="2"/>
      <c r="E5" s="2"/>
      <c r="F5" s="2"/>
      <c r="G5" s="1">
        <v>2021</v>
      </c>
      <c r="H5" s="1">
        <v>2022</v>
      </c>
      <c r="I5" s="1">
        <v>2023</v>
      </c>
      <c r="J5" s="1">
        <v>2024</v>
      </c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</row>
    <row r="6" spans="1:30" x14ac:dyDescent="0.2">
      <c r="A6" s="2"/>
      <c r="B6" s="2"/>
      <c r="C6" s="2"/>
      <c r="D6" s="2"/>
      <c r="E6" s="14" t="s">
        <v>5</v>
      </c>
      <c r="F6" s="14"/>
      <c r="G6" s="5">
        <f>SUM(Sheet1!L2:L123)</f>
        <v>270117.89999999997</v>
      </c>
      <c r="H6" s="1">
        <v>260455</v>
      </c>
      <c r="I6" s="1">
        <f>H6+(H6*R16%)</f>
        <v>263059.55</v>
      </c>
      <c r="J6" s="1">
        <f>I6+(I6*R23)</f>
        <v>789178.64999999991</v>
      </c>
      <c r="K6" s="2"/>
      <c r="L6" s="2"/>
      <c r="M6" s="6"/>
      <c r="N6" s="16" t="s">
        <v>2</v>
      </c>
      <c r="O6" s="16" t="s">
        <v>3</v>
      </c>
      <c r="P6" s="14" t="s">
        <v>4</v>
      </c>
      <c r="Q6" s="14"/>
      <c r="R6" s="14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</row>
    <row r="7" spans="1:30" x14ac:dyDescent="0.2">
      <c r="A7" s="2"/>
      <c r="B7" s="2"/>
      <c r="C7" s="2"/>
      <c r="D7" s="2"/>
      <c r="E7" s="14" t="s">
        <v>6</v>
      </c>
      <c r="F7" s="14"/>
      <c r="G7" s="5">
        <v>3600</v>
      </c>
      <c r="H7" s="1">
        <v>36900</v>
      </c>
      <c r="I7" s="1">
        <f>H7+(H7*$G$19%)</f>
        <v>40221</v>
      </c>
      <c r="J7" s="1">
        <f>H7+(H7*$G$21%)</f>
        <v>40221</v>
      </c>
      <c r="K7" s="2"/>
      <c r="L7" s="2"/>
      <c r="M7" s="6"/>
      <c r="N7" s="16"/>
      <c r="O7" s="16"/>
      <c r="P7" s="14"/>
      <c r="Q7" s="14"/>
      <c r="R7" s="14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</row>
    <row r="8" spans="1:30" x14ac:dyDescent="0.2">
      <c r="A8" s="2"/>
      <c r="B8" s="2"/>
      <c r="C8" s="2"/>
      <c r="D8" s="2"/>
      <c r="E8" s="14" t="s">
        <v>8</v>
      </c>
      <c r="F8" s="14"/>
      <c r="G8" s="5">
        <v>24000</v>
      </c>
      <c r="H8" s="1">
        <v>24600</v>
      </c>
      <c r="I8" s="1">
        <f>H8+(H8*$G$19%)</f>
        <v>26814</v>
      </c>
      <c r="J8" s="1">
        <f>I8+(I8*$G$21%)</f>
        <v>29227.26</v>
      </c>
      <c r="K8" s="2"/>
      <c r="L8" s="2"/>
      <c r="M8" s="3" t="s">
        <v>7</v>
      </c>
      <c r="N8" s="3">
        <v>0</v>
      </c>
      <c r="O8" s="1">
        <v>0</v>
      </c>
      <c r="P8" s="14">
        <v>0</v>
      </c>
      <c r="Q8" s="14"/>
      <c r="R8" s="14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</row>
    <row r="9" spans="1:30" x14ac:dyDescent="0.2">
      <c r="A9" s="2"/>
      <c r="B9" s="2"/>
      <c r="C9" s="2"/>
      <c r="D9" s="2"/>
      <c r="E9" s="14" t="s">
        <v>10</v>
      </c>
      <c r="F9" s="14"/>
      <c r="G9" s="1">
        <v>120000</v>
      </c>
      <c r="H9" s="1">
        <v>123000</v>
      </c>
      <c r="I9" s="1">
        <f>H9+(H9*$G$19%)</f>
        <v>134070</v>
      </c>
      <c r="J9" s="1">
        <f>I9+(I9*$G$21%)</f>
        <v>146136.29999999999</v>
      </c>
      <c r="K9" s="2"/>
      <c r="L9" s="2"/>
      <c r="M9" s="1" t="s">
        <v>9</v>
      </c>
      <c r="N9" s="5">
        <v>2500</v>
      </c>
      <c r="O9" s="5">
        <v>30000</v>
      </c>
      <c r="P9" s="14">
        <v>2</v>
      </c>
      <c r="Q9" s="14"/>
      <c r="R9" s="14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</row>
    <row r="10" spans="1:30" x14ac:dyDescent="0.2">
      <c r="A10" s="2"/>
      <c r="B10" s="2"/>
      <c r="C10" s="2"/>
      <c r="D10" s="2"/>
      <c r="E10" s="14" t="s">
        <v>12</v>
      </c>
      <c r="F10" s="14"/>
      <c r="G10" s="1">
        <v>1000</v>
      </c>
      <c r="H10" s="1">
        <v>10250</v>
      </c>
      <c r="I10" s="1">
        <f>H10+(H10*$G$19%)</f>
        <v>11172.5</v>
      </c>
      <c r="J10" s="1">
        <f>I10+(I10*$G$21%)</f>
        <v>12178.025</v>
      </c>
      <c r="K10" s="2"/>
      <c r="L10" s="2"/>
      <c r="M10" s="1" t="s">
        <v>11</v>
      </c>
      <c r="N10" s="5">
        <v>1500</v>
      </c>
      <c r="O10" s="5">
        <v>18000</v>
      </c>
      <c r="P10" s="14">
        <v>1</v>
      </c>
      <c r="Q10" s="14"/>
      <c r="R10" s="14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</row>
    <row r="11" spans="1:30" x14ac:dyDescent="0.2">
      <c r="A11" s="2"/>
      <c r="B11" s="2"/>
      <c r="C11" s="2"/>
      <c r="D11" s="2"/>
      <c r="E11" s="14" t="s">
        <v>14</v>
      </c>
      <c r="F11" s="14"/>
      <c r="G11" s="1">
        <v>18000</v>
      </c>
      <c r="H11" s="1">
        <v>18000</v>
      </c>
      <c r="I11" s="1">
        <f>P16</f>
        <v>18000</v>
      </c>
      <c r="J11" s="1">
        <f>P23</f>
        <v>30000</v>
      </c>
      <c r="K11" s="2"/>
      <c r="L11" s="2"/>
      <c r="M11" s="3" t="s">
        <v>13</v>
      </c>
      <c r="N11" s="5">
        <v>3000</v>
      </c>
      <c r="O11" s="5">
        <v>36000</v>
      </c>
      <c r="P11" s="14">
        <v>0.5</v>
      </c>
      <c r="Q11" s="14"/>
      <c r="R11" s="14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</row>
    <row r="12" spans="1:30" x14ac:dyDescent="0.2">
      <c r="A12" s="2"/>
      <c r="B12" s="2"/>
      <c r="C12" s="2"/>
      <c r="D12" s="2"/>
      <c r="E12" s="14" t="s">
        <v>16</v>
      </c>
      <c r="F12" s="14"/>
      <c r="G12" s="1">
        <v>208000</v>
      </c>
      <c r="H12" s="1">
        <v>212750</v>
      </c>
      <c r="I12" s="1">
        <f>SUM(I7:I11)</f>
        <v>230277.5</v>
      </c>
      <c r="J12" s="1">
        <f>SUM(J7:J11)</f>
        <v>257762.58499999999</v>
      </c>
      <c r="K12" s="2"/>
      <c r="L12" s="2"/>
      <c r="M12" s="3" t="s">
        <v>15</v>
      </c>
      <c r="N12" s="5">
        <v>2000</v>
      </c>
      <c r="O12" s="5">
        <v>24000</v>
      </c>
      <c r="P12" s="14">
        <v>9.5</v>
      </c>
      <c r="Q12" s="14"/>
      <c r="R12" s="14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</row>
    <row r="13" spans="1:30" x14ac:dyDescent="0.2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</row>
    <row r="14" spans="1:30" x14ac:dyDescent="0.2">
      <c r="A14" s="2"/>
      <c r="B14" s="2"/>
      <c r="C14" s="2"/>
      <c r="D14" s="2"/>
      <c r="E14" s="17" t="s">
        <v>17</v>
      </c>
      <c r="F14" s="18"/>
      <c r="G14" s="1">
        <v>62118</v>
      </c>
      <c r="H14" s="1">
        <v>47705</v>
      </c>
      <c r="I14" s="1">
        <f>SUM(I6-I12)</f>
        <v>32782.049999999988</v>
      </c>
      <c r="J14" s="1">
        <f>SUM(J6-J12)</f>
        <v>531416.06499999994</v>
      </c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</row>
    <row r="15" spans="1:30" x14ac:dyDescent="0.2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7" t="s">
        <v>129</v>
      </c>
      <c r="N15" s="14" t="s">
        <v>18</v>
      </c>
      <c r="O15" s="14"/>
      <c r="P15" s="14" t="s">
        <v>19</v>
      </c>
      <c r="Q15" s="14"/>
      <c r="R15" s="14" t="s">
        <v>4</v>
      </c>
      <c r="S15" s="14"/>
      <c r="T15" s="14"/>
      <c r="U15" s="2"/>
      <c r="V15" s="2"/>
      <c r="W15" s="2"/>
      <c r="X15" s="2"/>
      <c r="Y15" s="2"/>
      <c r="Z15" s="2"/>
      <c r="AA15" s="2"/>
      <c r="AB15" s="2"/>
      <c r="AC15" s="2"/>
      <c r="AD15" s="2"/>
    </row>
    <row r="16" spans="1:30" x14ac:dyDescent="0.2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7" t="s">
        <v>11</v>
      </c>
      <c r="N16" s="14">
        <f>VLOOKUP(M16,$M$6:$N$12,2,)</f>
        <v>1500</v>
      </c>
      <c r="O16" s="14"/>
      <c r="P16" s="14">
        <f>VLOOKUP(M16,$M$6:$O$12,3,)</f>
        <v>18000</v>
      </c>
      <c r="Q16" s="14"/>
      <c r="R16" s="17">
        <f>VLOOKUP(M16,$M$6:$R$12,4,)</f>
        <v>1</v>
      </c>
      <c r="S16" s="24"/>
      <c r="T16" s="18"/>
      <c r="U16" s="2"/>
      <c r="V16" s="2"/>
      <c r="W16" s="2"/>
      <c r="X16" s="2"/>
      <c r="Y16" s="2"/>
      <c r="Z16" s="2"/>
      <c r="AA16" s="2"/>
      <c r="AB16" s="2"/>
      <c r="AC16" s="2"/>
      <c r="AD16" s="2"/>
    </row>
    <row r="17" spans="1:30" x14ac:dyDescent="0.2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</row>
    <row r="18" spans="1:30" x14ac:dyDescent="0.2">
      <c r="A18" s="2"/>
      <c r="B18" s="2"/>
      <c r="C18" s="2"/>
      <c r="D18" s="2"/>
      <c r="E18" s="2"/>
      <c r="F18" s="2"/>
      <c r="G18" s="2"/>
      <c r="H18" s="2"/>
      <c r="I18" s="2"/>
      <c r="J18" s="2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2"/>
      <c r="W18" s="2"/>
      <c r="X18" s="2"/>
      <c r="Y18" s="2"/>
      <c r="Z18" s="2"/>
      <c r="AA18" s="2"/>
      <c r="AB18" s="2"/>
      <c r="AC18" s="2"/>
      <c r="AD18" s="2"/>
    </row>
    <row r="19" spans="1:30" ht="15" customHeight="1" x14ac:dyDescent="0.2">
      <c r="A19" s="2"/>
      <c r="B19" s="2"/>
      <c r="C19" s="2"/>
      <c r="D19" s="2"/>
      <c r="E19" s="20" t="s">
        <v>127</v>
      </c>
      <c r="F19" s="20"/>
      <c r="G19" s="19">
        <v>9</v>
      </c>
      <c r="H19" s="2"/>
      <c r="I19" s="2"/>
      <c r="J19" s="2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2"/>
      <c r="W19" s="2"/>
      <c r="X19" s="2"/>
      <c r="Y19" s="2"/>
      <c r="Z19" s="2"/>
      <c r="AA19" s="2"/>
      <c r="AB19" s="2"/>
      <c r="AC19" s="2"/>
      <c r="AD19" s="2"/>
    </row>
    <row r="20" spans="1:30" x14ac:dyDescent="0.2">
      <c r="A20" s="2"/>
      <c r="B20" s="2"/>
      <c r="C20" s="2"/>
      <c r="D20" s="2"/>
      <c r="E20" s="20"/>
      <c r="F20" s="20"/>
      <c r="G20" s="19"/>
      <c r="H20" s="2"/>
      <c r="I20" s="2"/>
      <c r="J20" s="2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2"/>
      <c r="W20" s="2"/>
      <c r="X20" s="2"/>
      <c r="Y20" s="2"/>
      <c r="Z20" s="2"/>
      <c r="AA20" s="2"/>
      <c r="AB20" s="2"/>
      <c r="AC20" s="2"/>
      <c r="AD20" s="2"/>
    </row>
    <row r="21" spans="1:30" x14ac:dyDescent="0.2">
      <c r="A21" s="2"/>
      <c r="B21" s="2"/>
      <c r="C21" s="2"/>
      <c r="D21" s="2"/>
      <c r="E21" s="21" t="s">
        <v>128</v>
      </c>
      <c r="F21" s="22"/>
      <c r="G21" s="23">
        <v>9</v>
      </c>
      <c r="H21" s="10"/>
      <c r="I21" s="2"/>
      <c r="J21" s="26">
        <v>0</v>
      </c>
      <c r="K21" s="8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</row>
    <row r="22" spans="1:30" x14ac:dyDescent="0.2">
      <c r="A22" s="2"/>
      <c r="B22" s="2"/>
      <c r="C22" s="2"/>
      <c r="D22" s="2"/>
      <c r="E22" s="22"/>
      <c r="F22" s="22"/>
      <c r="G22" s="23"/>
      <c r="H22" s="10"/>
      <c r="I22" s="2"/>
      <c r="J22" s="26"/>
      <c r="K22" s="8"/>
      <c r="L22" s="2"/>
      <c r="M22" s="7" t="s">
        <v>130</v>
      </c>
      <c r="N22" s="14" t="s">
        <v>18</v>
      </c>
      <c r="O22" s="14"/>
      <c r="P22" s="14" t="s">
        <v>19</v>
      </c>
      <c r="Q22" s="14"/>
      <c r="R22" s="14" t="s">
        <v>4</v>
      </c>
      <c r="S22" s="14"/>
      <c r="T22" s="14"/>
      <c r="U22" s="2"/>
      <c r="V22" s="2"/>
      <c r="W22" s="2"/>
      <c r="X22" s="2"/>
      <c r="Y22" s="2"/>
      <c r="Z22" s="2"/>
      <c r="AA22" s="2"/>
      <c r="AB22" s="2"/>
      <c r="AC22" s="2"/>
      <c r="AD22" s="2"/>
    </row>
    <row r="23" spans="1:30" x14ac:dyDescent="0.2">
      <c r="A23" s="2"/>
      <c r="B23" s="2"/>
      <c r="C23" s="2"/>
      <c r="D23" s="2"/>
      <c r="E23" s="10"/>
      <c r="F23" s="10"/>
      <c r="G23" s="10"/>
      <c r="H23" s="10"/>
      <c r="I23" s="2"/>
      <c r="J23" s="26"/>
      <c r="K23" s="8"/>
      <c r="L23" s="2"/>
      <c r="M23" s="7" t="s">
        <v>9</v>
      </c>
      <c r="N23" s="14">
        <f>VLOOKUP(M23,$M$6:$N$12,2,)</f>
        <v>2500</v>
      </c>
      <c r="O23" s="14"/>
      <c r="P23" s="14">
        <f>VLOOKUP(M23,$M$6:$O$12,3,)</f>
        <v>30000</v>
      </c>
      <c r="Q23" s="14"/>
      <c r="R23" s="17">
        <f>VLOOKUP(M23,$M$6:$R$12,4,)</f>
        <v>2</v>
      </c>
      <c r="S23" s="24"/>
      <c r="T23" s="18"/>
      <c r="U23" s="2"/>
      <c r="V23" s="2"/>
      <c r="W23" s="2"/>
      <c r="X23" s="2"/>
      <c r="Y23" s="2"/>
      <c r="Z23" s="2"/>
      <c r="AA23" s="2"/>
      <c r="AB23" s="2"/>
      <c r="AC23" s="2"/>
      <c r="AD23" s="2"/>
    </row>
    <row r="24" spans="1:30" x14ac:dyDescent="0.2">
      <c r="A24" s="2"/>
      <c r="B24" s="2"/>
      <c r="C24" s="2"/>
      <c r="D24" s="2"/>
      <c r="E24" s="2"/>
      <c r="F24" s="2"/>
      <c r="G24" s="2"/>
      <c r="H24" s="2"/>
      <c r="I24" s="2"/>
      <c r="J24" s="2"/>
      <c r="K24" s="8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</row>
    <row r="25" spans="1:30" x14ac:dyDescent="0.2">
      <c r="A25" s="2"/>
      <c r="B25" s="2"/>
      <c r="C25" s="2"/>
      <c r="D25" s="2"/>
      <c r="E25" s="25"/>
      <c r="F25" s="26"/>
      <c r="G25" s="26"/>
      <c r="H25" s="26"/>
      <c r="I25" s="2"/>
      <c r="J25" s="2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2"/>
      <c r="W25" s="2"/>
      <c r="X25" s="2"/>
      <c r="Y25" s="2"/>
      <c r="Z25" s="2"/>
      <c r="AA25" s="2"/>
      <c r="AB25" s="2"/>
      <c r="AC25" s="2"/>
      <c r="AD25" s="2"/>
    </row>
    <row r="26" spans="1:30" x14ac:dyDescent="0.2">
      <c r="A26" s="2"/>
      <c r="B26" s="2"/>
      <c r="C26" s="2"/>
      <c r="D26" s="2"/>
      <c r="E26" s="26"/>
      <c r="F26" s="26"/>
      <c r="G26" s="26"/>
      <c r="H26" s="26"/>
      <c r="I26" s="2"/>
      <c r="J26" s="2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2"/>
      <c r="W26" s="2"/>
      <c r="X26" s="2"/>
      <c r="Y26" s="2"/>
      <c r="Z26" s="2"/>
      <c r="AA26" s="2"/>
      <c r="AB26" s="2"/>
      <c r="AC26" s="2"/>
      <c r="AD26" s="2"/>
    </row>
    <row r="27" spans="1:30" x14ac:dyDescent="0.2">
      <c r="A27" s="2"/>
      <c r="B27" s="2"/>
      <c r="C27" s="2"/>
      <c r="D27" s="2"/>
      <c r="E27" s="26"/>
      <c r="F27" s="26"/>
      <c r="G27" s="26"/>
      <c r="H27" s="26"/>
      <c r="I27" s="2"/>
      <c r="J27" s="2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2"/>
      <c r="W27" s="2"/>
      <c r="X27" s="2"/>
      <c r="Y27" s="2"/>
      <c r="Z27" s="2"/>
      <c r="AA27" s="2"/>
      <c r="AB27" s="2"/>
      <c r="AC27" s="2"/>
      <c r="AD27" s="2"/>
    </row>
    <row r="28" spans="1:30" x14ac:dyDescent="0.2">
      <c r="A28" s="2"/>
      <c r="B28" s="2"/>
      <c r="C28" s="2"/>
      <c r="D28" s="2"/>
      <c r="E28" s="2"/>
      <c r="F28" s="2"/>
      <c r="G28" s="2"/>
      <c r="H28" s="2"/>
      <c r="I28" s="2"/>
      <c r="J28" s="2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2"/>
      <c r="W28" s="2"/>
      <c r="X28" s="2"/>
      <c r="Y28" s="2"/>
      <c r="Z28" s="2"/>
      <c r="AA28" s="2"/>
      <c r="AB28" s="2"/>
      <c r="AC28" s="2"/>
      <c r="AD28" s="2"/>
    </row>
    <row r="29" spans="1:30" x14ac:dyDescent="0.2">
      <c r="A29" s="2"/>
      <c r="B29" s="2"/>
      <c r="C29" s="2"/>
      <c r="D29" s="2"/>
      <c r="E29" s="2"/>
      <c r="F29" s="2"/>
      <c r="G29" s="2"/>
      <c r="H29" s="2"/>
      <c r="I29" s="2"/>
      <c r="J29" s="2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2"/>
      <c r="W29" s="2"/>
      <c r="X29" s="2"/>
      <c r="Y29" s="2"/>
      <c r="Z29" s="2"/>
      <c r="AA29" s="2"/>
      <c r="AB29" s="2"/>
      <c r="AC29" s="2"/>
      <c r="AD29" s="2"/>
    </row>
    <row r="30" spans="1:30" x14ac:dyDescent="0.2">
      <c r="A30" s="2"/>
      <c r="B30" s="2"/>
      <c r="C30" s="2"/>
      <c r="D30" s="2"/>
      <c r="E30" s="2"/>
      <c r="F30" s="2"/>
      <c r="G30" s="2"/>
      <c r="H30" s="2"/>
      <c r="I30" s="2"/>
      <c r="J30" s="2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2"/>
      <c r="W30" s="2"/>
      <c r="X30" s="2"/>
      <c r="Y30" s="2"/>
      <c r="Z30" s="2"/>
      <c r="AA30" s="2"/>
      <c r="AB30" s="2"/>
      <c r="AC30" s="2"/>
      <c r="AD30" s="2"/>
    </row>
    <row r="31" spans="1:30" x14ac:dyDescent="0.2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</row>
    <row r="32" spans="1:30" ht="15" customHeight="1" x14ac:dyDescent="0.2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1:30" ht="15" customHeight="1" x14ac:dyDescent="0.2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</row>
    <row r="34" spans="1:30" ht="15" customHeight="1" x14ac:dyDescent="0.2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</row>
    <row r="35" spans="1:30" ht="15" customHeight="1" x14ac:dyDescent="0.2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</row>
    <row r="36" spans="1:30" ht="15" customHeight="1" x14ac:dyDescent="0.2">
      <c r="A36" s="2"/>
      <c r="B36" s="2"/>
      <c r="C36" s="2"/>
      <c r="D36" s="2"/>
      <c r="E36" s="2"/>
      <c r="F36" s="2"/>
      <c r="G36" s="2"/>
      <c r="H36" s="12"/>
      <c r="I36" s="12"/>
      <c r="J36" s="12"/>
      <c r="K36" s="2"/>
      <c r="L36" s="11"/>
      <c r="M36" s="11"/>
      <c r="N36" s="11"/>
      <c r="O36" s="2"/>
      <c r="P36" s="12"/>
      <c r="Q36" s="12"/>
      <c r="R36" s="1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</row>
    <row r="37" spans="1:30" ht="15" customHeight="1" x14ac:dyDescent="0.2">
      <c r="A37" s="2"/>
      <c r="B37" s="2"/>
      <c r="C37" s="2"/>
      <c r="D37" s="2"/>
      <c r="E37" s="2"/>
      <c r="F37" s="2"/>
      <c r="G37" s="2"/>
      <c r="H37" s="12"/>
      <c r="I37" s="12"/>
      <c r="J37" s="12"/>
      <c r="K37" s="2"/>
      <c r="L37" s="11"/>
      <c r="M37" s="11"/>
      <c r="N37" s="11"/>
      <c r="O37" s="2"/>
      <c r="P37" s="12"/>
      <c r="Q37" s="12"/>
      <c r="R37" s="1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</row>
    <row r="38" spans="1:30" ht="15" customHeight="1" x14ac:dyDescent="0.2">
      <c r="A38" s="2"/>
      <c r="B38" s="2"/>
      <c r="C38" s="2"/>
      <c r="D38" s="2"/>
      <c r="E38" s="2"/>
      <c r="F38" s="2"/>
      <c r="G38" s="2"/>
      <c r="H38" s="12"/>
      <c r="I38" s="12"/>
      <c r="J38" s="12"/>
      <c r="K38" s="2"/>
      <c r="L38" s="11"/>
      <c r="M38" s="11"/>
      <c r="N38" s="11"/>
      <c r="O38" s="2"/>
      <c r="P38" s="12"/>
      <c r="Q38" s="12"/>
      <c r="R38" s="1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</row>
    <row r="39" spans="1:30" ht="15" customHeight="1" x14ac:dyDescent="0.2">
      <c r="A39" s="2"/>
      <c r="B39" s="2"/>
      <c r="C39" s="2"/>
      <c r="D39" s="2"/>
      <c r="E39" s="2"/>
      <c r="F39" s="2"/>
      <c r="G39" s="2"/>
      <c r="H39" s="12"/>
      <c r="I39" s="12"/>
      <c r="J39" s="12"/>
      <c r="K39" s="2"/>
      <c r="L39" s="11"/>
      <c r="M39" s="11"/>
      <c r="N39" s="11"/>
      <c r="O39" s="2"/>
      <c r="P39" s="12"/>
      <c r="Q39" s="12"/>
      <c r="R39" s="1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</row>
    <row r="40" spans="1:30" x14ac:dyDescent="0.2">
      <c r="A40" s="2"/>
      <c r="B40" s="2"/>
      <c r="C40" s="2"/>
      <c r="D40" s="2"/>
      <c r="E40" s="2"/>
      <c r="F40" s="2"/>
      <c r="G40" s="2"/>
      <c r="H40" s="12"/>
      <c r="I40" s="12"/>
      <c r="J40" s="12"/>
      <c r="K40" s="2"/>
      <c r="L40" s="11"/>
      <c r="M40" s="11"/>
      <c r="N40" s="11"/>
      <c r="O40" s="2"/>
      <c r="P40" s="12"/>
      <c r="Q40" s="12"/>
      <c r="R40" s="1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</row>
    <row r="41" spans="1:30" x14ac:dyDescent="0.2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</row>
    <row r="42" spans="1:30" x14ac:dyDescent="0.2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</row>
    <row r="43" spans="1:30" x14ac:dyDescent="0.2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</row>
    <row r="44" spans="1:30" x14ac:dyDescent="0.2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</row>
    <row r="54" spans="10:10" x14ac:dyDescent="0.2">
      <c r="J54">
        <v>5</v>
      </c>
    </row>
    <row r="55" spans="10:10" x14ac:dyDescent="0.2">
      <c r="J55">
        <v>6</v>
      </c>
    </row>
    <row r="56" spans="10:10" x14ac:dyDescent="0.2">
      <c r="J56">
        <v>7</v>
      </c>
    </row>
    <row r="57" spans="10:10" x14ac:dyDescent="0.2">
      <c r="J57">
        <v>8</v>
      </c>
    </row>
    <row r="58" spans="10:10" x14ac:dyDescent="0.2">
      <c r="J58">
        <v>9</v>
      </c>
    </row>
  </sheetData>
  <mergeCells count="37">
    <mergeCell ref="L36:N40"/>
    <mergeCell ref="P36:R40"/>
    <mergeCell ref="E25:H27"/>
    <mergeCell ref="J21:J23"/>
    <mergeCell ref="H36:J40"/>
    <mergeCell ref="N23:O23"/>
    <mergeCell ref="P23:Q23"/>
    <mergeCell ref="R23:T23"/>
    <mergeCell ref="N22:O22"/>
    <mergeCell ref="P22:Q22"/>
    <mergeCell ref="R22:T22"/>
    <mergeCell ref="N15:O15"/>
    <mergeCell ref="P15:Q15"/>
    <mergeCell ref="R15:T15"/>
    <mergeCell ref="N16:O16"/>
    <mergeCell ref="P16:Q16"/>
    <mergeCell ref="R16:T16"/>
    <mergeCell ref="P10:R10"/>
    <mergeCell ref="P11:R11"/>
    <mergeCell ref="P12:R12"/>
    <mergeCell ref="E6:F6"/>
    <mergeCell ref="E7:F7"/>
    <mergeCell ref="E8:F8"/>
    <mergeCell ref="E9:F9"/>
    <mergeCell ref="E10:F10"/>
    <mergeCell ref="E11:F11"/>
    <mergeCell ref="N6:N7"/>
    <mergeCell ref="O6:O7"/>
    <mergeCell ref="P6:R7"/>
    <mergeCell ref="P8:R8"/>
    <mergeCell ref="P9:R9"/>
    <mergeCell ref="G19:G20"/>
    <mergeCell ref="E19:F20"/>
    <mergeCell ref="E21:F22"/>
    <mergeCell ref="G21:G22"/>
    <mergeCell ref="E12:F12"/>
    <mergeCell ref="E14:F14"/>
  </mergeCells>
  <conditionalFormatting sqref="G14:J14">
    <cfRule type="iconSet" priority="1">
      <iconSet iconSet="3Arrows">
        <cfvo type="percent" val="0"/>
        <cfvo type="percent" val="33"/>
        <cfvo type="percent" val="67"/>
      </iconSet>
    </cfRule>
  </conditionalFormatting>
  <dataValidations count="3">
    <dataValidation type="list" allowBlank="1" showInputMessage="1" showErrorMessage="1" sqref="L48:L52" xr:uid="{3D044668-1E1A-4A63-A8EC-390FB682245D}">
      <formula1>"L48"</formula1>
    </dataValidation>
    <dataValidation type="list" allowBlank="1" showInputMessage="1" showErrorMessage="1" sqref="G19 G21:G22" xr:uid="{03342BE0-5F67-4474-94C5-DE662BB5E118}">
      <formula1>"5,6,7,8,9"</formula1>
    </dataValidation>
    <dataValidation type="list" allowBlank="1" showInputMessage="1" showErrorMessage="1" sqref="M16 M23" xr:uid="{BE4F174F-4962-4228-8F4B-90C32703B790}">
      <formula1>"none,radio,paper,yell.com,website"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75027-F3AE-41D7-8921-1D2FED6F13CD}">
  <sheetPr codeName="Sheet4"/>
  <dimension ref="A1:Z255"/>
  <sheetViews>
    <sheetView topLeftCell="A215" workbookViewId="0">
      <selection activeCell="N227" sqref="N227"/>
    </sheetView>
  </sheetViews>
  <sheetFormatPr defaultRowHeight="15" x14ac:dyDescent="0.2"/>
  <cols>
    <col min="1" max="1" width="11.8359375" bestFit="1" customWidth="1"/>
    <col min="2" max="2" width="10.22265625" bestFit="1" customWidth="1"/>
    <col min="3" max="3" width="12.23828125" bestFit="1" customWidth="1"/>
    <col min="4" max="4" width="15.73828125" bestFit="1" customWidth="1"/>
    <col min="5" max="5" width="8.47265625" bestFit="1" customWidth="1"/>
    <col min="6" max="6" width="9.28125" bestFit="1" customWidth="1"/>
    <col min="7" max="7" width="8.47265625" bestFit="1" customWidth="1"/>
    <col min="8" max="8" width="12.375" bestFit="1" customWidth="1"/>
    <col min="9" max="9" width="20.4453125" bestFit="1" customWidth="1"/>
    <col min="10" max="10" width="12.9140625" bestFit="1" customWidth="1"/>
    <col min="11" max="11" width="8.609375" bestFit="1" customWidth="1"/>
    <col min="12" max="12" width="11.97265625" bestFit="1" customWidth="1"/>
  </cols>
  <sheetData>
    <row r="1" spans="1:12" x14ac:dyDescent="0.2">
      <c r="A1" t="s">
        <v>20</v>
      </c>
      <c r="B1" t="s">
        <v>21</v>
      </c>
      <c r="C1" t="s">
        <v>22</v>
      </c>
      <c r="D1" t="s">
        <v>23</v>
      </c>
      <c r="E1" t="s">
        <v>24</v>
      </c>
      <c r="F1" t="s">
        <v>25</v>
      </c>
      <c r="G1" t="s">
        <v>26</v>
      </c>
      <c r="H1" t="s">
        <v>27</v>
      </c>
      <c r="I1" t="s">
        <v>28</v>
      </c>
      <c r="J1" t="s">
        <v>29</v>
      </c>
      <c r="K1" t="s">
        <v>30</v>
      </c>
      <c r="L1" t="s">
        <v>126</v>
      </c>
    </row>
    <row r="2" spans="1:12" x14ac:dyDescent="0.2">
      <c r="A2" t="s">
        <v>31</v>
      </c>
      <c r="B2" t="s">
        <v>32</v>
      </c>
      <c r="C2" t="s">
        <v>33</v>
      </c>
      <c r="D2" s="9">
        <v>44211</v>
      </c>
      <c r="E2">
        <v>100</v>
      </c>
      <c r="F2">
        <v>27.3</v>
      </c>
      <c r="G2">
        <v>0</v>
      </c>
      <c r="H2" t="s">
        <v>34</v>
      </c>
      <c r="I2" t="s">
        <v>35</v>
      </c>
      <c r="J2">
        <v>20.475000000000001</v>
      </c>
      <c r="K2">
        <v>27.3</v>
      </c>
      <c r="L2">
        <v>2730</v>
      </c>
    </row>
    <row r="3" spans="1:12" x14ac:dyDescent="0.2">
      <c r="A3" t="s">
        <v>31</v>
      </c>
      <c r="B3" t="s">
        <v>32</v>
      </c>
      <c r="C3" t="s">
        <v>33</v>
      </c>
      <c r="D3" s="9">
        <v>44211</v>
      </c>
      <c r="E3">
        <v>30</v>
      </c>
      <c r="F3">
        <v>6.8250000000000002</v>
      </c>
      <c r="G3">
        <v>0</v>
      </c>
      <c r="H3" t="s">
        <v>36</v>
      </c>
      <c r="I3" t="s">
        <v>37</v>
      </c>
      <c r="J3">
        <v>5.85</v>
      </c>
      <c r="K3">
        <v>6.8250000000000002</v>
      </c>
      <c r="L3">
        <v>204.75</v>
      </c>
    </row>
    <row r="4" spans="1:12" x14ac:dyDescent="0.2">
      <c r="A4" t="s">
        <v>38</v>
      </c>
      <c r="B4" t="s">
        <v>39</v>
      </c>
      <c r="C4" t="s">
        <v>40</v>
      </c>
      <c r="D4" s="9">
        <v>44216</v>
      </c>
      <c r="E4">
        <v>10</v>
      </c>
      <c r="F4">
        <v>58.5</v>
      </c>
      <c r="G4">
        <v>0</v>
      </c>
      <c r="H4" t="s">
        <v>41</v>
      </c>
      <c r="I4" t="s">
        <v>42</v>
      </c>
      <c r="J4">
        <v>43.875</v>
      </c>
      <c r="K4">
        <v>58.5</v>
      </c>
      <c r="L4">
        <v>585</v>
      </c>
    </row>
    <row r="5" spans="1:12" x14ac:dyDescent="0.2">
      <c r="A5" t="s">
        <v>38</v>
      </c>
      <c r="B5" t="s">
        <v>39</v>
      </c>
      <c r="C5" t="s">
        <v>40</v>
      </c>
      <c r="D5" s="9">
        <v>44216</v>
      </c>
      <c r="E5">
        <v>10</v>
      </c>
      <c r="F5">
        <v>103.35</v>
      </c>
      <c r="G5">
        <v>0</v>
      </c>
      <c r="H5" t="s">
        <v>43</v>
      </c>
      <c r="I5" t="s">
        <v>44</v>
      </c>
      <c r="J5">
        <v>77.512500000000003</v>
      </c>
      <c r="K5">
        <v>103.35</v>
      </c>
      <c r="L5">
        <v>1033.5</v>
      </c>
    </row>
    <row r="6" spans="1:12" x14ac:dyDescent="0.2">
      <c r="A6" t="s">
        <v>38</v>
      </c>
      <c r="B6" t="s">
        <v>39</v>
      </c>
      <c r="C6" t="s">
        <v>40</v>
      </c>
      <c r="D6" s="9">
        <v>44216</v>
      </c>
      <c r="E6">
        <v>10</v>
      </c>
      <c r="F6">
        <v>6.8250000000000002</v>
      </c>
      <c r="G6">
        <v>0</v>
      </c>
      <c r="H6" t="s">
        <v>36</v>
      </c>
      <c r="I6" t="s">
        <v>37</v>
      </c>
      <c r="J6">
        <v>5.85</v>
      </c>
      <c r="K6">
        <v>6.8250000000000002</v>
      </c>
      <c r="L6">
        <v>68.25</v>
      </c>
    </row>
    <row r="7" spans="1:12" x14ac:dyDescent="0.2">
      <c r="A7" t="s">
        <v>45</v>
      </c>
      <c r="B7" t="s">
        <v>46</v>
      </c>
      <c r="C7" t="s">
        <v>47</v>
      </c>
      <c r="D7" s="9">
        <v>44218</v>
      </c>
      <c r="E7">
        <v>15</v>
      </c>
      <c r="F7">
        <v>35.1</v>
      </c>
      <c r="G7">
        <v>0</v>
      </c>
      <c r="H7" t="s">
        <v>48</v>
      </c>
      <c r="I7" t="s">
        <v>49</v>
      </c>
      <c r="J7">
        <v>26.324999999999999</v>
      </c>
      <c r="K7">
        <v>35.1</v>
      </c>
      <c r="L7">
        <v>526.5</v>
      </c>
    </row>
    <row r="8" spans="1:12" x14ac:dyDescent="0.2">
      <c r="A8" t="s">
        <v>45</v>
      </c>
      <c r="B8" t="s">
        <v>46</v>
      </c>
      <c r="C8" t="s">
        <v>47</v>
      </c>
      <c r="D8" s="9">
        <v>44218</v>
      </c>
      <c r="E8">
        <v>20</v>
      </c>
      <c r="F8">
        <v>89.7</v>
      </c>
      <c r="G8">
        <v>0</v>
      </c>
      <c r="H8" t="s">
        <v>50</v>
      </c>
      <c r="I8" t="s">
        <v>51</v>
      </c>
      <c r="J8">
        <v>67.275000000000006</v>
      </c>
      <c r="K8">
        <v>89.7</v>
      </c>
      <c r="L8">
        <v>1794</v>
      </c>
    </row>
    <row r="9" spans="1:12" x14ac:dyDescent="0.2">
      <c r="A9" t="s">
        <v>52</v>
      </c>
      <c r="B9" t="s">
        <v>53</v>
      </c>
      <c r="C9" t="s">
        <v>54</v>
      </c>
      <c r="D9" s="9">
        <v>44226</v>
      </c>
      <c r="E9">
        <v>30</v>
      </c>
      <c r="F9">
        <v>17.940000000000001</v>
      </c>
      <c r="G9">
        <v>0</v>
      </c>
      <c r="H9" t="s">
        <v>55</v>
      </c>
      <c r="I9" t="s">
        <v>56</v>
      </c>
      <c r="J9">
        <v>13.455</v>
      </c>
      <c r="K9">
        <v>17.940000000000001</v>
      </c>
      <c r="L9">
        <v>538.20000000000005</v>
      </c>
    </row>
    <row r="10" spans="1:12" x14ac:dyDescent="0.2">
      <c r="A10" t="s">
        <v>38</v>
      </c>
      <c r="B10" t="s">
        <v>39</v>
      </c>
      <c r="C10" t="s">
        <v>40</v>
      </c>
      <c r="D10" s="9">
        <v>44233</v>
      </c>
      <c r="E10">
        <v>20</v>
      </c>
      <c r="F10">
        <v>17.940000000000001</v>
      </c>
      <c r="G10">
        <v>0</v>
      </c>
      <c r="H10" t="s">
        <v>55</v>
      </c>
      <c r="I10" t="s">
        <v>56</v>
      </c>
      <c r="J10">
        <v>13.455</v>
      </c>
      <c r="K10">
        <v>17.940000000000001</v>
      </c>
      <c r="L10">
        <v>358.8</v>
      </c>
    </row>
    <row r="11" spans="1:12" x14ac:dyDescent="0.2">
      <c r="A11" t="s">
        <v>57</v>
      </c>
      <c r="B11" t="s">
        <v>58</v>
      </c>
      <c r="C11" t="s">
        <v>40</v>
      </c>
      <c r="D11" s="9">
        <v>44237</v>
      </c>
      <c r="E11">
        <v>10</v>
      </c>
      <c r="F11">
        <v>24.862500000000001</v>
      </c>
      <c r="G11">
        <v>0</v>
      </c>
      <c r="H11" t="s">
        <v>59</v>
      </c>
      <c r="I11" t="s">
        <v>60</v>
      </c>
      <c r="J11">
        <v>18.641999999999999</v>
      </c>
      <c r="K11">
        <v>24.862500000000001</v>
      </c>
      <c r="L11">
        <v>248.625</v>
      </c>
    </row>
    <row r="12" spans="1:12" x14ac:dyDescent="0.2">
      <c r="A12" t="s">
        <v>61</v>
      </c>
      <c r="B12" t="s">
        <v>62</v>
      </c>
      <c r="C12" t="s">
        <v>63</v>
      </c>
      <c r="D12" s="9">
        <v>44250</v>
      </c>
      <c r="E12">
        <v>200</v>
      </c>
      <c r="F12">
        <v>18.817499999999999</v>
      </c>
      <c r="G12">
        <v>0</v>
      </c>
      <c r="H12" t="s">
        <v>64</v>
      </c>
      <c r="I12" t="s">
        <v>65</v>
      </c>
      <c r="J12">
        <v>14.118</v>
      </c>
      <c r="K12">
        <v>18.817499999999999</v>
      </c>
      <c r="L12">
        <v>3763.5</v>
      </c>
    </row>
    <row r="13" spans="1:12" x14ac:dyDescent="0.2">
      <c r="A13" t="s">
        <v>66</v>
      </c>
      <c r="B13" t="s">
        <v>67</v>
      </c>
      <c r="C13" t="s">
        <v>68</v>
      </c>
      <c r="D13" s="9">
        <v>44261</v>
      </c>
      <c r="E13">
        <v>17</v>
      </c>
      <c r="F13">
        <v>78</v>
      </c>
      <c r="G13">
        <v>0</v>
      </c>
      <c r="H13" t="s">
        <v>69</v>
      </c>
      <c r="I13" t="s">
        <v>70</v>
      </c>
      <c r="J13">
        <v>58.5</v>
      </c>
      <c r="K13">
        <v>78</v>
      </c>
      <c r="L13">
        <v>1326</v>
      </c>
    </row>
    <row r="14" spans="1:12" x14ac:dyDescent="0.2">
      <c r="A14" t="s">
        <v>71</v>
      </c>
      <c r="B14" t="s">
        <v>72</v>
      </c>
      <c r="C14" t="s">
        <v>73</v>
      </c>
      <c r="D14" s="9">
        <v>44265</v>
      </c>
      <c r="E14">
        <v>300</v>
      </c>
      <c r="F14">
        <v>89.7</v>
      </c>
      <c r="G14">
        <v>0</v>
      </c>
      <c r="H14" t="s">
        <v>50</v>
      </c>
      <c r="I14" t="s">
        <v>51</v>
      </c>
      <c r="J14">
        <v>67.275000000000006</v>
      </c>
      <c r="K14">
        <v>89.7</v>
      </c>
      <c r="L14">
        <v>26910</v>
      </c>
    </row>
    <row r="15" spans="1:12" x14ac:dyDescent="0.2">
      <c r="A15" t="s">
        <v>52</v>
      </c>
      <c r="B15" t="s">
        <v>53</v>
      </c>
      <c r="C15" t="s">
        <v>54</v>
      </c>
      <c r="D15" s="9">
        <v>44277</v>
      </c>
      <c r="E15">
        <v>100</v>
      </c>
      <c r="F15">
        <v>24.862500000000001</v>
      </c>
      <c r="G15">
        <v>0</v>
      </c>
      <c r="H15" t="s">
        <v>59</v>
      </c>
      <c r="I15" t="s">
        <v>60</v>
      </c>
      <c r="J15">
        <v>18.641999999999999</v>
      </c>
      <c r="K15">
        <v>24.862500000000001</v>
      </c>
      <c r="L15">
        <v>2486.25</v>
      </c>
    </row>
    <row r="16" spans="1:12" x14ac:dyDescent="0.2">
      <c r="A16" t="s">
        <v>74</v>
      </c>
      <c r="B16" t="s">
        <v>75</v>
      </c>
      <c r="C16" t="s">
        <v>76</v>
      </c>
      <c r="D16" s="9">
        <v>44279</v>
      </c>
      <c r="E16">
        <v>200</v>
      </c>
      <c r="F16">
        <v>5.8304999999999998</v>
      </c>
      <c r="G16">
        <v>0</v>
      </c>
      <c r="H16" t="s">
        <v>77</v>
      </c>
      <c r="I16" t="s">
        <v>78</v>
      </c>
      <c r="J16">
        <v>3.9</v>
      </c>
      <c r="K16">
        <v>5.8304999999999998</v>
      </c>
      <c r="L16">
        <v>1166.0999999999999</v>
      </c>
    </row>
    <row r="17" spans="1:12" x14ac:dyDescent="0.2">
      <c r="A17" t="s">
        <v>79</v>
      </c>
      <c r="B17" t="s">
        <v>80</v>
      </c>
      <c r="C17" t="s">
        <v>81</v>
      </c>
      <c r="D17" s="9">
        <v>44279</v>
      </c>
      <c r="E17">
        <v>300</v>
      </c>
      <c r="F17">
        <v>89.7</v>
      </c>
      <c r="G17">
        <v>0</v>
      </c>
      <c r="H17" t="s">
        <v>50</v>
      </c>
      <c r="I17" t="s">
        <v>51</v>
      </c>
      <c r="J17">
        <v>67.275000000000006</v>
      </c>
      <c r="K17">
        <v>89.7</v>
      </c>
      <c r="L17">
        <v>26910</v>
      </c>
    </row>
    <row r="18" spans="1:12" x14ac:dyDescent="0.2">
      <c r="A18" t="s">
        <v>74</v>
      </c>
      <c r="B18" t="s">
        <v>75</v>
      </c>
      <c r="C18" t="s">
        <v>76</v>
      </c>
      <c r="D18" s="9">
        <v>44279</v>
      </c>
      <c r="E18">
        <v>10</v>
      </c>
      <c r="F18">
        <v>48.75</v>
      </c>
      <c r="G18">
        <v>0</v>
      </c>
      <c r="H18" t="s">
        <v>82</v>
      </c>
      <c r="I18" t="s">
        <v>83</v>
      </c>
      <c r="J18">
        <v>36.5625</v>
      </c>
      <c r="K18">
        <v>48.75</v>
      </c>
      <c r="L18">
        <v>487.5</v>
      </c>
    </row>
    <row r="19" spans="1:12" x14ac:dyDescent="0.2">
      <c r="A19" t="s">
        <v>74</v>
      </c>
      <c r="B19" t="s">
        <v>75</v>
      </c>
      <c r="C19" t="s">
        <v>76</v>
      </c>
      <c r="D19" s="9">
        <v>44279</v>
      </c>
      <c r="E19">
        <v>10</v>
      </c>
      <c r="F19">
        <v>42.9</v>
      </c>
      <c r="G19">
        <v>0</v>
      </c>
      <c r="H19" t="s">
        <v>84</v>
      </c>
      <c r="I19" t="s">
        <v>85</v>
      </c>
      <c r="J19">
        <v>32.174999999999997</v>
      </c>
      <c r="K19">
        <v>42.9</v>
      </c>
      <c r="L19">
        <v>429</v>
      </c>
    </row>
    <row r="20" spans="1:12" x14ac:dyDescent="0.2">
      <c r="A20" t="s">
        <v>74</v>
      </c>
      <c r="B20" t="s">
        <v>75</v>
      </c>
      <c r="C20" t="s">
        <v>76</v>
      </c>
      <c r="D20" s="9">
        <v>44279</v>
      </c>
      <c r="E20">
        <v>10</v>
      </c>
      <c r="F20">
        <v>17.940000000000001</v>
      </c>
      <c r="G20">
        <v>0</v>
      </c>
      <c r="H20" t="s">
        <v>55</v>
      </c>
      <c r="I20" t="s">
        <v>56</v>
      </c>
      <c r="J20">
        <v>13.455</v>
      </c>
      <c r="K20">
        <v>17.940000000000001</v>
      </c>
      <c r="L20">
        <v>179.4</v>
      </c>
    </row>
    <row r="21" spans="1:12" x14ac:dyDescent="0.2">
      <c r="A21" t="s">
        <v>86</v>
      </c>
      <c r="B21" t="s">
        <v>87</v>
      </c>
      <c r="C21" t="s">
        <v>88</v>
      </c>
      <c r="D21" s="9">
        <v>44279</v>
      </c>
      <c r="E21">
        <v>20</v>
      </c>
      <c r="F21">
        <v>6.8250000000000002</v>
      </c>
      <c r="G21">
        <v>0</v>
      </c>
      <c r="H21" t="s">
        <v>36</v>
      </c>
      <c r="I21" t="s">
        <v>37</v>
      </c>
      <c r="J21">
        <v>5.85</v>
      </c>
      <c r="K21">
        <v>6.8250000000000002</v>
      </c>
      <c r="L21">
        <v>136.5</v>
      </c>
    </row>
    <row r="22" spans="1:12" x14ac:dyDescent="0.2">
      <c r="A22" t="s">
        <v>86</v>
      </c>
      <c r="B22" t="s">
        <v>87</v>
      </c>
      <c r="C22" t="s">
        <v>88</v>
      </c>
      <c r="D22" s="9">
        <v>44279</v>
      </c>
      <c r="E22">
        <v>50</v>
      </c>
      <c r="F22">
        <v>5.8304999999999998</v>
      </c>
      <c r="G22">
        <v>0</v>
      </c>
      <c r="H22" t="s">
        <v>77</v>
      </c>
      <c r="I22" t="s">
        <v>78</v>
      </c>
      <c r="J22">
        <v>3.9</v>
      </c>
      <c r="K22">
        <v>5.8304999999999998</v>
      </c>
      <c r="L22">
        <v>291.52499999999998</v>
      </c>
    </row>
    <row r="23" spans="1:12" x14ac:dyDescent="0.2">
      <c r="A23" t="s">
        <v>89</v>
      </c>
      <c r="B23" t="s">
        <v>90</v>
      </c>
      <c r="C23" t="s">
        <v>91</v>
      </c>
      <c r="D23" s="9">
        <v>44279</v>
      </c>
      <c r="E23">
        <v>25</v>
      </c>
      <c r="F23">
        <v>35.1</v>
      </c>
      <c r="G23">
        <v>0</v>
      </c>
      <c r="H23" t="s">
        <v>48</v>
      </c>
      <c r="I23" t="s">
        <v>49</v>
      </c>
      <c r="J23">
        <v>26.324999999999999</v>
      </c>
      <c r="K23">
        <v>35.1</v>
      </c>
      <c r="L23">
        <v>877.5</v>
      </c>
    </row>
    <row r="24" spans="1:12" x14ac:dyDescent="0.2">
      <c r="A24" t="s">
        <v>89</v>
      </c>
      <c r="B24" t="s">
        <v>90</v>
      </c>
      <c r="C24" t="s">
        <v>91</v>
      </c>
      <c r="D24" s="9">
        <v>44279</v>
      </c>
      <c r="E24">
        <v>25</v>
      </c>
      <c r="F24">
        <v>89.7</v>
      </c>
      <c r="G24">
        <v>0</v>
      </c>
      <c r="H24" t="s">
        <v>50</v>
      </c>
      <c r="I24" t="s">
        <v>51</v>
      </c>
      <c r="J24">
        <v>67.275000000000006</v>
      </c>
      <c r="K24">
        <v>89.7</v>
      </c>
      <c r="L24">
        <v>2242.5</v>
      </c>
    </row>
    <row r="25" spans="1:12" x14ac:dyDescent="0.2">
      <c r="A25" t="s">
        <v>89</v>
      </c>
      <c r="B25" t="s">
        <v>90</v>
      </c>
      <c r="C25" t="s">
        <v>91</v>
      </c>
      <c r="D25" s="9">
        <v>44279</v>
      </c>
      <c r="E25">
        <v>25</v>
      </c>
      <c r="F25">
        <v>5.8304999999999998</v>
      </c>
      <c r="G25">
        <v>0</v>
      </c>
      <c r="H25" t="s">
        <v>77</v>
      </c>
      <c r="I25" t="s">
        <v>78</v>
      </c>
      <c r="J25">
        <v>3.9</v>
      </c>
      <c r="K25">
        <v>5.8304999999999998</v>
      </c>
      <c r="L25">
        <v>145.76249999999999</v>
      </c>
    </row>
    <row r="26" spans="1:12" x14ac:dyDescent="0.2">
      <c r="A26" t="s">
        <v>71</v>
      </c>
      <c r="B26" t="s">
        <v>72</v>
      </c>
      <c r="C26" t="s">
        <v>73</v>
      </c>
      <c r="D26" s="9">
        <v>44293</v>
      </c>
      <c r="E26">
        <v>50</v>
      </c>
      <c r="F26">
        <v>18.817499999999999</v>
      </c>
      <c r="G26">
        <v>0</v>
      </c>
      <c r="H26" t="s">
        <v>64</v>
      </c>
      <c r="I26" t="s">
        <v>65</v>
      </c>
      <c r="J26">
        <v>14.118</v>
      </c>
      <c r="K26">
        <v>18.817499999999999</v>
      </c>
      <c r="L26">
        <v>940.875</v>
      </c>
    </row>
    <row r="27" spans="1:12" x14ac:dyDescent="0.2">
      <c r="A27" t="s">
        <v>71</v>
      </c>
      <c r="B27" t="s">
        <v>72</v>
      </c>
      <c r="C27" t="s">
        <v>73</v>
      </c>
      <c r="D27" s="9">
        <v>44293</v>
      </c>
      <c r="E27">
        <v>50</v>
      </c>
      <c r="F27">
        <v>35.880000000000003</v>
      </c>
      <c r="G27">
        <v>0</v>
      </c>
      <c r="H27" t="s">
        <v>92</v>
      </c>
      <c r="I27" t="s">
        <v>93</v>
      </c>
      <c r="J27">
        <v>26.91</v>
      </c>
      <c r="K27">
        <v>35.880000000000003</v>
      </c>
      <c r="L27">
        <v>1794</v>
      </c>
    </row>
    <row r="28" spans="1:12" x14ac:dyDescent="0.2">
      <c r="A28" t="s">
        <v>94</v>
      </c>
      <c r="B28" t="s">
        <v>95</v>
      </c>
      <c r="C28" t="s">
        <v>96</v>
      </c>
      <c r="D28" s="9">
        <v>44291</v>
      </c>
      <c r="E28">
        <v>100</v>
      </c>
      <c r="F28">
        <v>38.024999999999999</v>
      </c>
      <c r="G28">
        <v>0</v>
      </c>
      <c r="H28" t="s">
        <v>97</v>
      </c>
      <c r="I28" t="s">
        <v>98</v>
      </c>
      <c r="J28">
        <v>28.528500000000001</v>
      </c>
      <c r="K28">
        <v>38.024999999999999</v>
      </c>
      <c r="L28">
        <v>3802.5</v>
      </c>
    </row>
    <row r="29" spans="1:12" x14ac:dyDescent="0.2">
      <c r="A29" t="s">
        <v>94</v>
      </c>
      <c r="B29" t="s">
        <v>95</v>
      </c>
      <c r="C29" t="s">
        <v>96</v>
      </c>
      <c r="D29" s="9">
        <v>44291</v>
      </c>
      <c r="E29">
        <v>50</v>
      </c>
      <c r="F29">
        <v>67.86</v>
      </c>
      <c r="G29">
        <v>0</v>
      </c>
      <c r="H29" t="s">
        <v>99</v>
      </c>
      <c r="I29" t="s">
        <v>100</v>
      </c>
      <c r="J29">
        <v>50.895000000000003</v>
      </c>
      <c r="K29">
        <v>67.86</v>
      </c>
      <c r="L29">
        <v>3393</v>
      </c>
    </row>
    <row r="30" spans="1:12" x14ac:dyDescent="0.2">
      <c r="A30" t="s">
        <v>66</v>
      </c>
      <c r="B30" t="s">
        <v>67</v>
      </c>
      <c r="C30" t="s">
        <v>68</v>
      </c>
      <c r="D30" s="9">
        <v>44294</v>
      </c>
      <c r="E30">
        <v>300</v>
      </c>
      <c r="F30">
        <v>27.3</v>
      </c>
      <c r="G30">
        <v>0</v>
      </c>
      <c r="H30" t="s">
        <v>34</v>
      </c>
      <c r="I30" t="s">
        <v>35</v>
      </c>
      <c r="J30">
        <v>20.475000000000001</v>
      </c>
      <c r="K30">
        <v>27.3</v>
      </c>
      <c r="L30">
        <v>8190</v>
      </c>
    </row>
    <row r="31" spans="1:12" x14ac:dyDescent="0.2">
      <c r="A31" t="s">
        <v>52</v>
      </c>
      <c r="B31" t="s">
        <v>53</v>
      </c>
      <c r="C31" t="s">
        <v>54</v>
      </c>
      <c r="D31" s="9">
        <v>44291</v>
      </c>
      <c r="E31">
        <v>25</v>
      </c>
      <c r="F31">
        <v>78</v>
      </c>
      <c r="G31">
        <v>0</v>
      </c>
      <c r="H31" t="s">
        <v>69</v>
      </c>
      <c r="I31" t="s">
        <v>70</v>
      </c>
      <c r="J31">
        <v>58.5</v>
      </c>
      <c r="K31">
        <v>78</v>
      </c>
      <c r="L31">
        <v>1950</v>
      </c>
    </row>
    <row r="32" spans="1:12" x14ac:dyDescent="0.2">
      <c r="A32" t="s">
        <v>52</v>
      </c>
      <c r="B32" t="s">
        <v>53</v>
      </c>
      <c r="C32" t="s">
        <v>54</v>
      </c>
      <c r="D32" s="9">
        <v>44291</v>
      </c>
      <c r="E32">
        <v>25</v>
      </c>
      <c r="F32">
        <v>17.940000000000001</v>
      </c>
      <c r="G32">
        <v>0</v>
      </c>
      <c r="H32" t="s">
        <v>55</v>
      </c>
      <c r="I32" t="s">
        <v>56</v>
      </c>
      <c r="J32">
        <v>13.455</v>
      </c>
      <c r="K32">
        <v>17.940000000000001</v>
      </c>
      <c r="L32">
        <v>448.5</v>
      </c>
    </row>
    <row r="33" spans="1:12" x14ac:dyDescent="0.2">
      <c r="A33" t="s">
        <v>101</v>
      </c>
      <c r="B33" t="s">
        <v>46</v>
      </c>
      <c r="C33" t="s">
        <v>102</v>
      </c>
      <c r="D33" s="9">
        <v>44291</v>
      </c>
      <c r="E33">
        <v>20</v>
      </c>
      <c r="F33">
        <v>19.5</v>
      </c>
      <c r="G33">
        <v>0</v>
      </c>
      <c r="H33" t="s">
        <v>103</v>
      </c>
      <c r="I33" t="s">
        <v>104</v>
      </c>
      <c r="J33">
        <v>14.625</v>
      </c>
      <c r="K33">
        <v>19.5</v>
      </c>
      <c r="L33">
        <v>390</v>
      </c>
    </row>
    <row r="34" spans="1:12" x14ac:dyDescent="0.2">
      <c r="A34" t="s">
        <v>105</v>
      </c>
      <c r="B34" t="s">
        <v>106</v>
      </c>
      <c r="C34" t="s">
        <v>107</v>
      </c>
      <c r="D34" s="9">
        <v>44291</v>
      </c>
      <c r="E34">
        <v>25</v>
      </c>
      <c r="F34">
        <v>41.6325</v>
      </c>
      <c r="G34">
        <v>0</v>
      </c>
      <c r="H34" t="s">
        <v>108</v>
      </c>
      <c r="I34" t="s">
        <v>109</v>
      </c>
      <c r="J34">
        <v>31.2195</v>
      </c>
      <c r="K34">
        <v>41.6325</v>
      </c>
      <c r="L34">
        <v>1040.8125</v>
      </c>
    </row>
    <row r="35" spans="1:12" x14ac:dyDescent="0.2">
      <c r="A35" t="s">
        <v>105</v>
      </c>
      <c r="B35" t="s">
        <v>106</v>
      </c>
      <c r="C35" t="s">
        <v>107</v>
      </c>
      <c r="D35" s="9">
        <v>44291</v>
      </c>
      <c r="E35">
        <v>30</v>
      </c>
      <c r="F35">
        <v>18.817499999999999</v>
      </c>
      <c r="G35">
        <v>0</v>
      </c>
      <c r="H35" t="s">
        <v>64</v>
      </c>
      <c r="I35" t="s">
        <v>65</v>
      </c>
      <c r="J35">
        <v>14.118</v>
      </c>
      <c r="K35">
        <v>18.817499999999999</v>
      </c>
      <c r="L35">
        <v>564.52499999999998</v>
      </c>
    </row>
    <row r="36" spans="1:12" x14ac:dyDescent="0.2">
      <c r="A36" t="s">
        <v>105</v>
      </c>
      <c r="B36" t="s">
        <v>106</v>
      </c>
      <c r="C36" t="s">
        <v>107</v>
      </c>
      <c r="D36" s="9">
        <v>44291</v>
      </c>
      <c r="E36">
        <v>30</v>
      </c>
      <c r="F36">
        <v>35.880000000000003</v>
      </c>
      <c r="G36">
        <v>0</v>
      </c>
      <c r="H36" t="s">
        <v>92</v>
      </c>
      <c r="I36" t="s">
        <v>93</v>
      </c>
      <c r="J36">
        <v>26.91</v>
      </c>
      <c r="K36">
        <v>35.880000000000003</v>
      </c>
      <c r="L36">
        <v>1076.4000000000001</v>
      </c>
    </row>
    <row r="37" spans="1:12" x14ac:dyDescent="0.2">
      <c r="A37" t="s">
        <v>66</v>
      </c>
      <c r="B37" t="s">
        <v>67</v>
      </c>
      <c r="C37" t="s">
        <v>68</v>
      </c>
      <c r="D37" s="9">
        <v>44289</v>
      </c>
      <c r="E37">
        <v>10</v>
      </c>
      <c r="F37">
        <v>24.862500000000001</v>
      </c>
      <c r="G37">
        <v>0</v>
      </c>
      <c r="H37" t="s">
        <v>59</v>
      </c>
      <c r="I37" t="s">
        <v>60</v>
      </c>
      <c r="J37">
        <v>18.641999999999999</v>
      </c>
      <c r="K37">
        <v>24.862500000000001</v>
      </c>
      <c r="L37">
        <v>248.625</v>
      </c>
    </row>
    <row r="38" spans="1:12" x14ac:dyDescent="0.2">
      <c r="A38" t="s">
        <v>57</v>
      </c>
      <c r="B38" t="s">
        <v>58</v>
      </c>
      <c r="C38" t="s">
        <v>40</v>
      </c>
      <c r="D38" s="9">
        <v>44291</v>
      </c>
      <c r="E38">
        <v>87</v>
      </c>
      <c r="F38">
        <v>27.3</v>
      </c>
      <c r="G38">
        <v>0</v>
      </c>
      <c r="H38" t="s">
        <v>34</v>
      </c>
      <c r="I38" t="s">
        <v>35</v>
      </c>
      <c r="J38">
        <v>20.475000000000001</v>
      </c>
      <c r="K38">
        <v>27.3</v>
      </c>
      <c r="L38">
        <v>2375.1</v>
      </c>
    </row>
    <row r="39" spans="1:12" x14ac:dyDescent="0.2">
      <c r="A39" t="s">
        <v>66</v>
      </c>
      <c r="B39" t="s">
        <v>67</v>
      </c>
      <c r="C39" t="s">
        <v>68</v>
      </c>
      <c r="D39" s="9">
        <v>44370</v>
      </c>
      <c r="E39">
        <v>30</v>
      </c>
      <c r="F39">
        <v>58.5</v>
      </c>
      <c r="G39">
        <v>0</v>
      </c>
      <c r="H39" t="s">
        <v>41</v>
      </c>
      <c r="I39" t="s">
        <v>42</v>
      </c>
      <c r="J39">
        <v>43.875</v>
      </c>
      <c r="K39">
        <v>58.5</v>
      </c>
      <c r="L39">
        <v>1755</v>
      </c>
    </row>
    <row r="40" spans="1:12" x14ac:dyDescent="0.2">
      <c r="A40" t="s">
        <v>66</v>
      </c>
      <c r="B40" t="s">
        <v>67</v>
      </c>
      <c r="C40" t="s">
        <v>68</v>
      </c>
      <c r="D40" s="9">
        <v>44370</v>
      </c>
      <c r="E40">
        <v>30</v>
      </c>
      <c r="F40">
        <v>103.35</v>
      </c>
      <c r="G40">
        <v>0</v>
      </c>
      <c r="H40" t="s">
        <v>43</v>
      </c>
      <c r="I40" t="s">
        <v>44</v>
      </c>
      <c r="J40">
        <v>77.512500000000003</v>
      </c>
      <c r="K40">
        <v>103.35</v>
      </c>
      <c r="L40">
        <v>3100.5</v>
      </c>
    </row>
    <row r="41" spans="1:12" x14ac:dyDescent="0.2">
      <c r="A41" t="s">
        <v>57</v>
      </c>
      <c r="B41" t="s">
        <v>58</v>
      </c>
      <c r="C41" t="s">
        <v>40</v>
      </c>
      <c r="D41" s="9">
        <v>44352</v>
      </c>
      <c r="E41">
        <v>40</v>
      </c>
      <c r="F41">
        <v>76.05</v>
      </c>
      <c r="G41">
        <v>0</v>
      </c>
      <c r="H41" t="s">
        <v>110</v>
      </c>
      <c r="I41" t="s">
        <v>111</v>
      </c>
      <c r="J41">
        <v>57.037500000000001</v>
      </c>
      <c r="K41">
        <v>76.05</v>
      </c>
      <c r="L41">
        <v>3042</v>
      </c>
    </row>
    <row r="42" spans="1:12" x14ac:dyDescent="0.2">
      <c r="A42" t="s">
        <v>105</v>
      </c>
      <c r="B42" t="s">
        <v>106</v>
      </c>
      <c r="C42" t="s">
        <v>107</v>
      </c>
      <c r="D42" s="9">
        <v>44352</v>
      </c>
      <c r="E42">
        <v>90</v>
      </c>
      <c r="F42">
        <v>48.75</v>
      </c>
      <c r="G42">
        <v>0</v>
      </c>
      <c r="H42" t="s">
        <v>82</v>
      </c>
      <c r="I42" t="s">
        <v>83</v>
      </c>
      <c r="J42">
        <v>36.5625</v>
      </c>
      <c r="K42">
        <v>48.75</v>
      </c>
      <c r="L42">
        <v>4387.5</v>
      </c>
    </row>
    <row r="43" spans="1:12" x14ac:dyDescent="0.2">
      <c r="A43" t="s">
        <v>101</v>
      </c>
      <c r="B43" t="s">
        <v>46</v>
      </c>
      <c r="C43" t="s">
        <v>102</v>
      </c>
      <c r="D43" s="9">
        <v>44352</v>
      </c>
      <c r="E43">
        <v>30</v>
      </c>
      <c r="F43">
        <v>42.9</v>
      </c>
      <c r="G43">
        <v>0</v>
      </c>
      <c r="H43" t="s">
        <v>84</v>
      </c>
      <c r="I43" t="s">
        <v>85</v>
      </c>
      <c r="J43">
        <v>32.174999999999997</v>
      </c>
      <c r="K43">
        <v>42.9</v>
      </c>
      <c r="L43">
        <v>1287</v>
      </c>
    </row>
    <row r="44" spans="1:12" x14ac:dyDescent="0.2">
      <c r="A44" t="s">
        <v>52</v>
      </c>
      <c r="B44" t="s">
        <v>53</v>
      </c>
      <c r="C44" t="s">
        <v>54</v>
      </c>
      <c r="D44" s="9">
        <v>44352</v>
      </c>
      <c r="E44">
        <v>40</v>
      </c>
      <c r="F44">
        <v>24.862500000000001</v>
      </c>
      <c r="G44">
        <v>0</v>
      </c>
      <c r="H44" t="s">
        <v>59</v>
      </c>
      <c r="I44" t="s">
        <v>60</v>
      </c>
      <c r="J44">
        <v>18.641999999999999</v>
      </c>
      <c r="K44">
        <v>24.862500000000001</v>
      </c>
      <c r="L44">
        <v>994.5</v>
      </c>
    </row>
    <row r="45" spans="1:12" x14ac:dyDescent="0.2">
      <c r="A45" t="s">
        <v>66</v>
      </c>
      <c r="B45" t="s">
        <v>67</v>
      </c>
      <c r="C45" t="s">
        <v>68</v>
      </c>
      <c r="D45" s="9">
        <v>44355</v>
      </c>
      <c r="E45">
        <v>40</v>
      </c>
      <c r="F45">
        <v>24.862500000000001</v>
      </c>
      <c r="G45">
        <v>0</v>
      </c>
      <c r="H45" t="s">
        <v>59</v>
      </c>
      <c r="I45" t="s">
        <v>60</v>
      </c>
      <c r="J45">
        <v>18.641999999999999</v>
      </c>
      <c r="K45">
        <v>24.862500000000001</v>
      </c>
      <c r="L45">
        <v>994.5</v>
      </c>
    </row>
    <row r="46" spans="1:12" x14ac:dyDescent="0.2">
      <c r="A46" t="s">
        <v>94</v>
      </c>
      <c r="B46" t="s">
        <v>95</v>
      </c>
      <c r="C46" t="s">
        <v>96</v>
      </c>
      <c r="D46" s="9">
        <v>44352</v>
      </c>
      <c r="E46">
        <v>10</v>
      </c>
      <c r="F46">
        <v>18.817499999999999</v>
      </c>
      <c r="G46">
        <v>0</v>
      </c>
      <c r="H46" t="s">
        <v>64</v>
      </c>
      <c r="I46" t="s">
        <v>65</v>
      </c>
      <c r="J46">
        <v>14.118</v>
      </c>
      <c r="K46">
        <v>18.817499999999999</v>
      </c>
      <c r="L46">
        <v>188.17500000000001</v>
      </c>
    </row>
    <row r="47" spans="1:12" x14ac:dyDescent="0.2">
      <c r="A47" t="s">
        <v>71</v>
      </c>
      <c r="B47" t="s">
        <v>72</v>
      </c>
      <c r="C47" t="s">
        <v>73</v>
      </c>
      <c r="D47" s="9">
        <v>44354</v>
      </c>
      <c r="E47">
        <v>5</v>
      </c>
      <c r="F47">
        <v>89.7</v>
      </c>
      <c r="G47">
        <v>0</v>
      </c>
      <c r="H47" t="s">
        <v>50</v>
      </c>
      <c r="I47" t="s">
        <v>51</v>
      </c>
      <c r="J47">
        <v>67.275000000000006</v>
      </c>
      <c r="K47">
        <v>89.7</v>
      </c>
      <c r="L47">
        <v>448.5</v>
      </c>
    </row>
    <row r="48" spans="1:12" x14ac:dyDescent="0.2">
      <c r="A48" t="s">
        <v>89</v>
      </c>
      <c r="B48" t="s">
        <v>90</v>
      </c>
      <c r="C48" t="s">
        <v>91</v>
      </c>
      <c r="D48" s="9">
        <v>44340</v>
      </c>
      <c r="E48">
        <v>40</v>
      </c>
      <c r="F48">
        <v>35.880000000000003</v>
      </c>
      <c r="G48">
        <v>0</v>
      </c>
      <c r="H48" t="s">
        <v>92</v>
      </c>
      <c r="I48" t="s">
        <v>93</v>
      </c>
      <c r="J48">
        <v>26.91</v>
      </c>
      <c r="K48">
        <v>35.880000000000003</v>
      </c>
      <c r="L48">
        <v>1435.2</v>
      </c>
    </row>
    <row r="49" spans="1:12" x14ac:dyDescent="0.2">
      <c r="A49" t="s">
        <v>86</v>
      </c>
      <c r="B49" t="s">
        <v>87</v>
      </c>
      <c r="C49" t="s">
        <v>88</v>
      </c>
      <c r="D49" s="9">
        <v>44340</v>
      </c>
      <c r="E49">
        <v>20</v>
      </c>
      <c r="F49">
        <v>78</v>
      </c>
      <c r="G49">
        <v>0</v>
      </c>
      <c r="H49" t="s">
        <v>69</v>
      </c>
      <c r="I49" t="s">
        <v>70</v>
      </c>
      <c r="J49">
        <v>58.5</v>
      </c>
      <c r="K49">
        <v>78</v>
      </c>
      <c r="L49">
        <v>1560</v>
      </c>
    </row>
    <row r="50" spans="1:12" x14ac:dyDescent="0.2">
      <c r="A50" t="s">
        <v>74</v>
      </c>
      <c r="B50" t="s">
        <v>75</v>
      </c>
      <c r="C50" t="s">
        <v>76</v>
      </c>
      <c r="D50" s="9">
        <v>44340</v>
      </c>
      <c r="E50">
        <v>15</v>
      </c>
      <c r="F50">
        <v>6.8250000000000002</v>
      </c>
      <c r="G50">
        <v>0</v>
      </c>
      <c r="H50" t="s">
        <v>36</v>
      </c>
      <c r="I50" t="s">
        <v>37</v>
      </c>
      <c r="J50">
        <v>5.85</v>
      </c>
      <c r="K50">
        <v>6.8250000000000002</v>
      </c>
      <c r="L50">
        <v>102.375</v>
      </c>
    </row>
    <row r="51" spans="1:12" x14ac:dyDescent="0.2">
      <c r="A51" t="s">
        <v>74</v>
      </c>
      <c r="B51" t="s">
        <v>75</v>
      </c>
      <c r="C51" t="s">
        <v>76</v>
      </c>
      <c r="D51" s="9">
        <v>44340</v>
      </c>
      <c r="E51">
        <v>20</v>
      </c>
      <c r="F51">
        <v>19.5</v>
      </c>
      <c r="G51">
        <v>0</v>
      </c>
      <c r="H51" t="s">
        <v>112</v>
      </c>
      <c r="I51" t="s">
        <v>113</v>
      </c>
      <c r="J51">
        <v>14.625</v>
      </c>
      <c r="K51">
        <v>19.5</v>
      </c>
      <c r="L51">
        <v>390</v>
      </c>
    </row>
    <row r="52" spans="1:12" x14ac:dyDescent="0.2">
      <c r="A52" t="s">
        <v>52</v>
      </c>
      <c r="B52" t="s">
        <v>53</v>
      </c>
      <c r="C52" t="s">
        <v>54</v>
      </c>
      <c r="D52" s="9">
        <v>44316</v>
      </c>
      <c r="E52">
        <v>40</v>
      </c>
      <c r="F52">
        <v>67.86</v>
      </c>
      <c r="G52">
        <v>0</v>
      </c>
      <c r="H52" t="s">
        <v>99</v>
      </c>
      <c r="I52" t="s">
        <v>100</v>
      </c>
      <c r="J52">
        <v>50.895000000000003</v>
      </c>
      <c r="K52">
        <v>67.86</v>
      </c>
      <c r="L52">
        <v>2714.4</v>
      </c>
    </row>
    <row r="53" spans="1:12" x14ac:dyDescent="0.2">
      <c r="A53" t="s">
        <v>61</v>
      </c>
      <c r="B53" t="s">
        <v>62</v>
      </c>
      <c r="C53" t="s">
        <v>63</v>
      </c>
      <c r="D53" s="9">
        <v>44311</v>
      </c>
      <c r="E53">
        <v>50</v>
      </c>
      <c r="F53">
        <v>19.5</v>
      </c>
      <c r="G53">
        <v>0</v>
      </c>
      <c r="H53" t="s">
        <v>114</v>
      </c>
      <c r="I53" t="s">
        <v>115</v>
      </c>
      <c r="J53">
        <v>14.625</v>
      </c>
      <c r="K53">
        <v>19.5</v>
      </c>
      <c r="L53">
        <v>975</v>
      </c>
    </row>
    <row r="54" spans="1:12" x14ac:dyDescent="0.2">
      <c r="A54" t="s">
        <v>61</v>
      </c>
      <c r="B54" t="s">
        <v>62</v>
      </c>
      <c r="C54" t="s">
        <v>63</v>
      </c>
      <c r="D54" s="9">
        <v>44311</v>
      </c>
      <c r="E54">
        <v>3</v>
      </c>
      <c r="F54">
        <v>78</v>
      </c>
      <c r="G54">
        <v>0</v>
      </c>
      <c r="H54" t="s">
        <v>69</v>
      </c>
      <c r="I54" t="s">
        <v>70</v>
      </c>
      <c r="J54">
        <v>58.5</v>
      </c>
      <c r="K54">
        <v>78</v>
      </c>
      <c r="L54">
        <v>234</v>
      </c>
    </row>
    <row r="55" spans="1:12" x14ac:dyDescent="0.2">
      <c r="A55" t="s">
        <v>38</v>
      </c>
      <c r="B55" t="s">
        <v>39</v>
      </c>
      <c r="C55" t="s">
        <v>40</v>
      </c>
      <c r="D55" s="9">
        <v>44308</v>
      </c>
      <c r="E55">
        <v>40</v>
      </c>
      <c r="F55">
        <v>157.94999999999999</v>
      </c>
      <c r="G55">
        <v>0</v>
      </c>
      <c r="H55" t="s">
        <v>82</v>
      </c>
      <c r="I55" t="s">
        <v>116</v>
      </c>
      <c r="J55">
        <v>118.46250000000001</v>
      </c>
      <c r="K55">
        <v>157.94999999999999</v>
      </c>
      <c r="L55">
        <v>6318</v>
      </c>
    </row>
    <row r="56" spans="1:12" x14ac:dyDescent="0.2">
      <c r="A56" t="s">
        <v>38</v>
      </c>
      <c r="B56" t="s">
        <v>39</v>
      </c>
      <c r="C56" t="s">
        <v>40</v>
      </c>
      <c r="D56" s="9">
        <v>44308</v>
      </c>
      <c r="E56">
        <v>40</v>
      </c>
      <c r="F56">
        <v>13.65</v>
      </c>
      <c r="G56">
        <v>0</v>
      </c>
      <c r="H56" t="s">
        <v>117</v>
      </c>
      <c r="I56" t="s">
        <v>118</v>
      </c>
      <c r="J56">
        <v>10.237500000000001</v>
      </c>
      <c r="K56">
        <v>13.65</v>
      </c>
      <c r="L56">
        <v>546</v>
      </c>
    </row>
    <row r="57" spans="1:12" x14ac:dyDescent="0.2">
      <c r="A57" t="s">
        <v>38</v>
      </c>
      <c r="B57" t="s">
        <v>39</v>
      </c>
      <c r="C57" t="s">
        <v>40</v>
      </c>
      <c r="D57" s="9">
        <v>44311</v>
      </c>
      <c r="E57">
        <v>10</v>
      </c>
      <c r="F57">
        <v>74.099999999999994</v>
      </c>
      <c r="G57">
        <v>0</v>
      </c>
      <c r="H57" t="s">
        <v>119</v>
      </c>
      <c r="I57" t="s">
        <v>120</v>
      </c>
      <c r="J57">
        <v>55.575000000000003</v>
      </c>
      <c r="K57">
        <v>74.099999999999994</v>
      </c>
      <c r="L57">
        <v>741</v>
      </c>
    </row>
    <row r="58" spans="1:12" x14ac:dyDescent="0.2">
      <c r="A58" t="s">
        <v>61</v>
      </c>
      <c r="B58" t="s">
        <v>62</v>
      </c>
      <c r="C58" t="s">
        <v>63</v>
      </c>
      <c r="D58" s="9">
        <v>44311</v>
      </c>
      <c r="E58">
        <v>25</v>
      </c>
      <c r="F58">
        <v>5.8304999999999998</v>
      </c>
      <c r="G58">
        <v>0</v>
      </c>
      <c r="H58" t="s">
        <v>77</v>
      </c>
      <c r="I58" t="s">
        <v>78</v>
      </c>
      <c r="J58">
        <v>3.9</v>
      </c>
      <c r="K58">
        <v>5.8304999999999998</v>
      </c>
      <c r="L58">
        <v>145.76249999999999</v>
      </c>
    </row>
    <row r="59" spans="1:12" x14ac:dyDescent="0.2">
      <c r="A59" t="s">
        <v>61</v>
      </c>
      <c r="B59" t="s">
        <v>62</v>
      </c>
      <c r="C59" t="s">
        <v>63</v>
      </c>
      <c r="D59" s="9">
        <v>44311</v>
      </c>
      <c r="E59">
        <v>18</v>
      </c>
      <c r="F59">
        <v>74.099999999999994</v>
      </c>
      <c r="G59">
        <v>0</v>
      </c>
      <c r="H59" t="s">
        <v>119</v>
      </c>
      <c r="I59" t="s">
        <v>120</v>
      </c>
      <c r="J59">
        <v>55.575000000000003</v>
      </c>
      <c r="K59">
        <v>74.099999999999994</v>
      </c>
      <c r="L59">
        <v>1333.8</v>
      </c>
    </row>
    <row r="60" spans="1:12" x14ac:dyDescent="0.2">
      <c r="A60" t="s">
        <v>121</v>
      </c>
      <c r="B60" t="s">
        <v>122</v>
      </c>
      <c r="C60" t="s">
        <v>123</v>
      </c>
      <c r="D60" s="9">
        <v>44298</v>
      </c>
      <c r="E60">
        <v>10</v>
      </c>
      <c r="F60">
        <v>35.1</v>
      </c>
      <c r="G60">
        <v>0</v>
      </c>
      <c r="H60" t="s">
        <v>48</v>
      </c>
      <c r="I60" t="s">
        <v>49</v>
      </c>
      <c r="J60">
        <v>26.324999999999999</v>
      </c>
      <c r="K60">
        <v>35.1</v>
      </c>
      <c r="L60">
        <v>351</v>
      </c>
    </row>
    <row r="61" spans="1:12" x14ac:dyDescent="0.2">
      <c r="A61" t="s">
        <v>121</v>
      </c>
      <c r="B61" t="s">
        <v>122</v>
      </c>
      <c r="C61" t="s">
        <v>123</v>
      </c>
      <c r="D61" s="9">
        <v>44298</v>
      </c>
      <c r="E61">
        <v>50</v>
      </c>
      <c r="F61">
        <v>3.8025000000000002</v>
      </c>
      <c r="G61">
        <v>0</v>
      </c>
      <c r="H61" t="s">
        <v>124</v>
      </c>
      <c r="I61" t="s">
        <v>125</v>
      </c>
      <c r="J61">
        <v>1.95</v>
      </c>
      <c r="K61">
        <v>3.8025000000000002</v>
      </c>
      <c r="L61">
        <v>190.125</v>
      </c>
    </row>
    <row r="62" spans="1:12" x14ac:dyDescent="0.2">
      <c r="A62" t="s">
        <v>71</v>
      </c>
      <c r="B62" t="s">
        <v>72</v>
      </c>
      <c r="C62" t="s">
        <v>73</v>
      </c>
      <c r="D62" s="9">
        <v>44302</v>
      </c>
      <c r="E62">
        <v>45</v>
      </c>
      <c r="F62">
        <v>3.8025000000000002</v>
      </c>
      <c r="G62">
        <v>0</v>
      </c>
      <c r="H62" t="s">
        <v>124</v>
      </c>
      <c r="I62" t="s">
        <v>125</v>
      </c>
      <c r="J62">
        <v>1.95</v>
      </c>
      <c r="K62">
        <v>3.8025000000000002</v>
      </c>
      <c r="L62">
        <v>171.11250000000001</v>
      </c>
    </row>
    <row r="63" spans="1:12" x14ac:dyDescent="0.2">
      <c r="A63" t="s">
        <v>31</v>
      </c>
      <c r="B63" t="s">
        <v>32</v>
      </c>
      <c r="C63" t="s">
        <v>33</v>
      </c>
      <c r="D63" s="9">
        <v>44394</v>
      </c>
      <c r="E63">
        <v>100</v>
      </c>
      <c r="F63">
        <v>27.3</v>
      </c>
      <c r="G63">
        <v>0</v>
      </c>
      <c r="H63" t="s">
        <v>34</v>
      </c>
      <c r="I63" t="s">
        <v>35</v>
      </c>
      <c r="J63">
        <v>20.475000000000001</v>
      </c>
      <c r="K63">
        <v>27.3</v>
      </c>
      <c r="L63">
        <v>2730</v>
      </c>
    </row>
    <row r="64" spans="1:12" x14ac:dyDescent="0.2">
      <c r="A64" t="s">
        <v>31</v>
      </c>
      <c r="B64" t="s">
        <v>32</v>
      </c>
      <c r="C64" t="s">
        <v>33</v>
      </c>
      <c r="D64" s="9">
        <v>44394</v>
      </c>
      <c r="E64">
        <v>30</v>
      </c>
      <c r="F64">
        <v>6.8250000000000002</v>
      </c>
      <c r="G64">
        <v>0</v>
      </c>
      <c r="H64" t="s">
        <v>36</v>
      </c>
      <c r="I64" t="s">
        <v>37</v>
      </c>
      <c r="J64">
        <v>5.85</v>
      </c>
      <c r="K64">
        <v>6.8250000000000002</v>
      </c>
      <c r="L64">
        <v>204.75</v>
      </c>
    </row>
    <row r="65" spans="1:12" x14ac:dyDescent="0.2">
      <c r="A65" t="s">
        <v>38</v>
      </c>
      <c r="B65" t="s">
        <v>39</v>
      </c>
      <c r="C65" t="s">
        <v>40</v>
      </c>
      <c r="D65" s="9">
        <v>44399</v>
      </c>
      <c r="E65">
        <v>10</v>
      </c>
      <c r="F65">
        <v>58.5</v>
      </c>
      <c r="G65">
        <v>0</v>
      </c>
      <c r="H65" t="s">
        <v>41</v>
      </c>
      <c r="I65" t="s">
        <v>42</v>
      </c>
      <c r="J65">
        <v>43.875</v>
      </c>
      <c r="K65">
        <v>58.5</v>
      </c>
      <c r="L65">
        <v>585</v>
      </c>
    </row>
    <row r="66" spans="1:12" x14ac:dyDescent="0.2">
      <c r="A66" t="s">
        <v>38</v>
      </c>
      <c r="B66" t="s">
        <v>39</v>
      </c>
      <c r="C66" t="s">
        <v>40</v>
      </c>
      <c r="D66" s="9">
        <v>44399</v>
      </c>
      <c r="E66">
        <v>10</v>
      </c>
      <c r="F66">
        <v>103.35</v>
      </c>
      <c r="G66">
        <v>0</v>
      </c>
      <c r="H66" t="s">
        <v>43</v>
      </c>
      <c r="I66" t="s">
        <v>44</v>
      </c>
      <c r="J66">
        <v>77.512500000000003</v>
      </c>
      <c r="K66">
        <v>103.35</v>
      </c>
      <c r="L66">
        <v>1033.5</v>
      </c>
    </row>
    <row r="67" spans="1:12" x14ac:dyDescent="0.2">
      <c r="A67" t="s">
        <v>38</v>
      </c>
      <c r="B67" t="s">
        <v>39</v>
      </c>
      <c r="C67" t="s">
        <v>40</v>
      </c>
      <c r="D67" s="9">
        <v>44399</v>
      </c>
      <c r="E67">
        <v>10</v>
      </c>
      <c r="F67">
        <v>6.8250000000000002</v>
      </c>
      <c r="G67">
        <v>0</v>
      </c>
      <c r="H67" t="s">
        <v>36</v>
      </c>
      <c r="I67" t="s">
        <v>37</v>
      </c>
      <c r="J67">
        <v>5.85</v>
      </c>
      <c r="K67">
        <v>6.8250000000000002</v>
      </c>
      <c r="L67">
        <v>68.25</v>
      </c>
    </row>
    <row r="68" spans="1:12" x14ac:dyDescent="0.2">
      <c r="A68" t="s">
        <v>45</v>
      </c>
      <c r="B68" t="s">
        <v>46</v>
      </c>
      <c r="C68" t="s">
        <v>47</v>
      </c>
      <c r="D68" s="9">
        <v>44401</v>
      </c>
      <c r="E68">
        <v>15</v>
      </c>
      <c r="F68">
        <v>35.1</v>
      </c>
      <c r="G68">
        <v>0</v>
      </c>
      <c r="H68" t="s">
        <v>48</v>
      </c>
      <c r="I68" t="s">
        <v>49</v>
      </c>
      <c r="J68">
        <v>26.324999999999999</v>
      </c>
      <c r="K68">
        <v>35.1</v>
      </c>
      <c r="L68">
        <v>526.5</v>
      </c>
    </row>
    <row r="69" spans="1:12" x14ac:dyDescent="0.2">
      <c r="A69" t="s">
        <v>45</v>
      </c>
      <c r="B69" t="s">
        <v>46</v>
      </c>
      <c r="C69" t="s">
        <v>47</v>
      </c>
      <c r="D69" s="9">
        <v>44401</v>
      </c>
      <c r="E69">
        <v>20</v>
      </c>
      <c r="F69">
        <v>89.7</v>
      </c>
      <c r="G69">
        <v>0</v>
      </c>
      <c r="H69" t="s">
        <v>50</v>
      </c>
      <c r="I69" t="s">
        <v>51</v>
      </c>
      <c r="J69">
        <v>67.275000000000006</v>
      </c>
      <c r="K69">
        <v>89.7</v>
      </c>
      <c r="L69">
        <v>1794</v>
      </c>
    </row>
    <row r="70" spans="1:12" x14ac:dyDescent="0.2">
      <c r="A70" t="s">
        <v>52</v>
      </c>
      <c r="B70" t="s">
        <v>53</v>
      </c>
      <c r="C70" t="s">
        <v>54</v>
      </c>
      <c r="D70" s="9">
        <v>44409</v>
      </c>
      <c r="E70">
        <v>30</v>
      </c>
      <c r="F70">
        <v>17.940000000000001</v>
      </c>
      <c r="G70">
        <v>0</v>
      </c>
      <c r="H70" t="s">
        <v>55</v>
      </c>
      <c r="I70" t="s">
        <v>56</v>
      </c>
      <c r="J70">
        <v>13.455</v>
      </c>
      <c r="K70">
        <v>17.940000000000001</v>
      </c>
      <c r="L70">
        <v>538.20000000000005</v>
      </c>
    </row>
    <row r="71" spans="1:12" x14ac:dyDescent="0.2">
      <c r="A71" t="s">
        <v>38</v>
      </c>
      <c r="B71" t="s">
        <v>39</v>
      </c>
      <c r="C71" t="s">
        <v>40</v>
      </c>
      <c r="D71" s="9">
        <v>44416</v>
      </c>
      <c r="E71">
        <v>20</v>
      </c>
      <c r="F71">
        <v>17.940000000000001</v>
      </c>
      <c r="G71">
        <v>0</v>
      </c>
      <c r="H71" t="s">
        <v>55</v>
      </c>
      <c r="I71" t="s">
        <v>56</v>
      </c>
      <c r="J71">
        <v>13.455</v>
      </c>
      <c r="K71">
        <v>17.940000000000001</v>
      </c>
      <c r="L71">
        <v>358.8</v>
      </c>
    </row>
    <row r="72" spans="1:12" x14ac:dyDescent="0.2">
      <c r="A72" t="s">
        <v>57</v>
      </c>
      <c r="B72" t="s">
        <v>58</v>
      </c>
      <c r="C72" t="s">
        <v>40</v>
      </c>
      <c r="D72" s="9">
        <v>44420</v>
      </c>
      <c r="E72">
        <v>10</v>
      </c>
      <c r="F72">
        <v>24.862500000000001</v>
      </c>
      <c r="G72">
        <v>0</v>
      </c>
      <c r="H72" t="s">
        <v>59</v>
      </c>
      <c r="I72" t="s">
        <v>60</v>
      </c>
      <c r="J72">
        <v>18.641999999999999</v>
      </c>
      <c r="K72">
        <v>24.862500000000001</v>
      </c>
      <c r="L72">
        <v>248.625</v>
      </c>
    </row>
    <row r="73" spans="1:12" x14ac:dyDescent="0.2">
      <c r="A73" t="s">
        <v>61</v>
      </c>
      <c r="B73" t="s">
        <v>62</v>
      </c>
      <c r="C73" t="s">
        <v>63</v>
      </c>
      <c r="D73" s="9">
        <v>44433</v>
      </c>
      <c r="E73">
        <v>200</v>
      </c>
      <c r="F73">
        <v>18.817499999999999</v>
      </c>
      <c r="G73">
        <v>0</v>
      </c>
      <c r="H73" t="s">
        <v>64</v>
      </c>
      <c r="I73" t="s">
        <v>65</v>
      </c>
      <c r="J73">
        <v>14.118</v>
      </c>
      <c r="K73">
        <v>18.817499999999999</v>
      </c>
      <c r="L73">
        <v>3763.5</v>
      </c>
    </row>
    <row r="74" spans="1:12" x14ac:dyDescent="0.2">
      <c r="A74" t="s">
        <v>66</v>
      </c>
      <c r="B74" t="s">
        <v>67</v>
      </c>
      <c r="C74" t="s">
        <v>68</v>
      </c>
      <c r="D74" s="9">
        <v>44444</v>
      </c>
      <c r="E74">
        <v>17</v>
      </c>
      <c r="F74">
        <v>78</v>
      </c>
      <c r="G74">
        <v>0</v>
      </c>
      <c r="H74" t="s">
        <v>69</v>
      </c>
      <c r="I74" t="s">
        <v>70</v>
      </c>
      <c r="J74">
        <v>58.5</v>
      </c>
      <c r="K74">
        <v>78</v>
      </c>
      <c r="L74">
        <v>1326</v>
      </c>
    </row>
    <row r="75" spans="1:12" x14ac:dyDescent="0.2">
      <c r="A75" t="s">
        <v>71</v>
      </c>
      <c r="B75" t="s">
        <v>72</v>
      </c>
      <c r="C75" t="s">
        <v>73</v>
      </c>
      <c r="D75" s="9">
        <v>44448</v>
      </c>
      <c r="E75">
        <v>300</v>
      </c>
      <c r="F75">
        <v>89.7</v>
      </c>
      <c r="G75">
        <v>0</v>
      </c>
      <c r="H75" t="s">
        <v>50</v>
      </c>
      <c r="I75" t="s">
        <v>51</v>
      </c>
      <c r="J75">
        <v>67.275000000000006</v>
      </c>
      <c r="K75">
        <v>89.7</v>
      </c>
      <c r="L75">
        <v>26910</v>
      </c>
    </row>
    <row r="76" spans="1:12" x14ac:dyDescent="0.2">
      <c r="A76" t="s">
        <v>52</v>
      </c>
      <c r="B76" t="s">
        <v>53</v>
      </c>
      <c r="C76" t="s">
        <v>54</v>
      </c>
      <c r="D76" s="9">
        <v>44460</v>
      </c>
      <c r="E76">
        <v>100</v>
      </c>
      <c r="F76">
        <v>24.862500000000001</v>
      </c>
      <c r="G76">
        <v>0</v>
      </c>
      <c r="H76" t="s">
        <v>59</v>
      </c>
      <c r="I76" t="s">
        <v>60</v>
      </c>
      <c r="J76">
        <v>18.641999999999999</v>
      </c>
      <c r="K76">
        <v>24.862500000000001</v>
      </c>
      <c r="L76">
        <v>2486.25</v>
      </c>
    </row>
    <row r="77" spans="1:12" x14ac:dyDescent="0.2">
      <c r="A77" t="s">
        <v>74</v>
      </c>
      <c r="B77" t="s">
        <v>75</v>
      </c>
      <c r="C77" t="s">
        <v>76</v>
      </c>
      <c r="D77" s="9">
        <v>44462</v>
      </c>
      <c r="E77">
        <v>200</v>
      </c>
      <c r="F77">
        <v>5.8304999999999998</v>
      </c>
      <c r="G77">
        <v>0</v>
      </c>
      <c r="H77" t="s">
        <v>77</v>
      </c>
      <c r="I77" t="s">
        <v>78</v>
      </c>
      <c r="J77">
        <v>3.9</v>
      </c>
      <c r="K77">
        <v>5.8304999999999998</v>
      </c>
      <c r="L77">
        <v>1166.0999999999999</v>
      </c>
    </row>
    <row r="78" spans="1:12" x14ac:dyDescent="0.2">
      <c r="A78" t="s">
        <v>79</v>
      </c>
      <c r="B78" t="s">
        <v>80</v>
      </c>
      <c r="C78" t="s">
        <v>81</v>
      </c>
      <c r="D78" s="9">
        <v>44462</v>
      </c>
      <c r="E78">
        <v>300</v>
      </c>
      <c r="F78">
        <v>89.7</v>
      </c>
      <c r="G78">
        <v>0</v>
      </c>
      <c r="H78" t="s">
        <v>50</v>
      </c>
      <c r="I78" t="s">
        <v>51</v>
      </c>
      <c r="J78">
        <v>67.275000000000006</v>
      </c>
      <c r="K78">
        <v>89.7</v>
      </c>
      <c r="L78">
        <v>26910</v>
      </c>
    </row>
    <row r="79" spans="1:12" x14ac:dyDescent="0.2">
      <c r="A79" t="s">
        <v>74</v>
      </c>
      <c r="B79" t="s">
        <v>75</v>
      </c>
      <c r="C79" t="s">
        <v>76</v>
      </c>
      <c r="D79" s="9">
        <v>44462</v>
      </c>
      <c r="E79">
        <v>10</v>
      </c>
      <c r="F79">
        <v>48.75</v>
      </c>
      <c r="G79">
        <v>0</v>
      </c>
      <c r="H79" t="s">
        <v>82</v>
      </c>
      <c r="I79" t="s">
        <v>83</v>
      </c>
      <c r="J79">
        <v>36.5625</v>
      </c>
      <c r="K79">
        <v>48.75</v>
      </c>
      <c r="L79">
        <v>487.5</v>
      </c>
    </row>
    <row r="80" spans="1:12" x14ac:dyDescent="0.2">
      <c r="A80" t="s">
        <v>74</v>
      </c>
      <c r="B80" t="s">
        <v>75</v>
      </c>
      <c r="C80" t="s">
        <v>76</v>
      </c>
      <c r="D80" s="9">
        <v>44462</v>
      </c>
      <c r="E80">
        <v>10</v>
      </c>
      <c r="F80">
        <v>42.9</v>
      </c>
      <c r="G80">
        <v>0</v>
      </c>
      <c r="H80" t="s">
        <v>84</v>
      </c>
      <c r="I80" t="s">
        <v>85</v>
      </c>
      <c r="J80">
        <v>32.174999999999997</v>
      </c>
      <c r="K80">
        <v>42.9</v>
      </c>
      <c r="L80">
        <v>429</v>
      </c>
    </row>
    <row r="81" spans="1:12" x14ac:dyDescent="0.2">
      <c r="A81" t="s">
        <v>74</v>
      </c>
      <c r="B81" t="s">
        <v>75</v>
      </c>
      <c r="C81" t="s">
        <v>76</v>
      </c>
      <c r="D81" s="9">
        <v>44462</v>
      </c>
      <c r="E81">
        <v>10</v>
      </c>
      <c r="F81">
        <v>17.940000000000001</v>
      </c>
      <c r="G81">
        <v>0</v>
      </c>
      <c r="H81" t="s">
        <v>55</v>
      </c>
      <c r="I81" t="s">
        <v>56</v>
      </c>
      <c r="J81">
        <v>13.455</v>
      </c>
      <c r="K81">
        <v>17.940000000000001</v>
      </c>
      <c r="L81">
        <v>179.4</v>
      </c>
    </row>
    <row r="82" spans="1:12" x14ac:dyDescent="0.2">
      <c r="A82" t="s">
        <v>86</v>
      </c>
      <c r="B82" t="s">
        <v>87</v>
      </c>
      <c r="C82" t="s">
        <v>88</v>
      </c>
      <c r="D82" s="9">
        <v>44462</v>
      </c>
      <c r="E82">
        <v>20</v>
      </c>
      <c r="F82">
        <v>6.8250000000000002</v>
      </c>
      <c r="G82">
        <v>0</v>
      </c>
      <c r="H82" t="s">
        <v>36</v>
      </c>
      <c r="I82" t="s">
        <v>37</v>
      </c>
      <c r="J82">
        <v>5.85</v>
      </c>
      <c r="K82">
        <v>6.8250000000000002</v>
      </c>
      <c r="L82">
        <v>136.5</v>
      </c>
    </row>
    <row r="83" spans="1:12" x14ac:dyDescent="0.2">
      <c r="A83" t="s">
        <v>86</v>
      </c>
      <c r="B83" t="s">
        <v>87</v>
      </c>
      <c r="C83" t="s">
        <v>88</v>
      </c>
      <c r="D83" s="9">
        <v>44462</v>
      </c>
      <c r="E83">
        <v>50</v>
      </c>
      <c r="F83">
        <v>5.8304999999999998</v>
      </c>
      <c r="G83">
        <v>0</v>
      </c>
      <c r="H83" t="s">
        <v>77</v>
      </c>
      <c r="I83" t="s">
        <v>78</v>
      </c>
      <c r="J83">
        <v>3.9</v>
      </c>
      <c r="K83">
        <v>5.8304999999999998</v>
      </c>
      <c r="L83">
        <v>291.52499999999998</v>
      </c>
    </row>
    <row r="84" spans="1:12" x14ac:dyDescent="0.2">
      <c r="A84" t="s">
        <v>89</v>
      </c>
      <c r="B84" t="s">
        <v>90</v>
      </c>
      <c r="C84" t="s">
        <v>91</v>
      </c>
      <c r="D84" s="9">
        <v>44462</v>
      </c>
      <c r="E84">
        <v>25</v>
      </c>
      <c r="F84">
        <v>35.1</v>
      </c>
      <c r="G84">
        <v>0</v>
      </c>
      <c r="H84" t="s">
        <v>48</v>
      </c>
      <c r="I84" t="s">
        <v>49</v>
      </c>
      <c r="J84">
        <v>26.324999999999999</v>
      </c>
      <c r="K84">
        <v>35.1</v>
      </c>
      <c r="L84">
        <v>877.5</v>
      </c>
    </row>
    <row r="85" spans="1:12" x14ac:dyDescent="0.2">
      <c r="A85" t="s">
        <v>89</v>
      </c>
      <c r="B85" t="s">
        <v>90</v>
      </c>
      <c r="C85" t="s">
        <v>91</v>
      </c>
      <c r="D85" s="9">
        <v>44462</v>
      </c>
      <c r="E85">
        <v>25</v>
      </c>
      <c r="F85">
        <v>89.7</v>
      </c>
      <c r="G85">
        <v>0</v>
      </c>
      <c r="H85" t="s">
        <v>50</v>
      </c>
      <c r="I85" t="s">
        <v>51</v>
      </c>
      <c r="J85">
        <v>67.275000000000006</v>
      </c>
      <c r="K85">
        <v>89.7</v>
      </c>
      <c r="L85">
        <v>2242.5</v>
      </c>
    </row>
    <row r="86" spans="1:12" x14ac:dyDescent="0.2">
      <c r="A86" t="s">
        <v>89</v>
      </c>
      <c r="B86" t="s">
        <v>90</v>
      </c>
      <c r="C86" t="s">
        <v>91</v>
      </c>
      <c r="D86" s="9">
        <v>44462</v>
      </c>
      <c r="E86">
        <v>25</v>
      </c>
      <c r="F86">
        <v>5.8304999999999998</v>
      </c>
      <c r="G86">
        <v>0</v>
      </c>
      <c r="H86" t="s">
        <v>77</v>
      </c>
      <c r="I86" t="s">
        <v>78</v>
      </c>
      <c r="J86">
        <v>3.9</v>
      </c>
      <c r="K86">
        <v>5.8304999999999998</v>
      </c>
      <c r="L86">
        <v>145.76249999999999</v>
      </c>
    </row>
    <row r="87" spans="1:12" x14ac:dyDescent="0.2">
      <c r="A87" t="s">
        <v>71</v>
      </c>
      <c r="B87" t="s">
        <v>72</v>
      </c>
      <c r="C87" t="s">
        <v>73</v>
      </c>
      <c r="D87" s="9">
        <v>44476</v>
      </c>
      <c r="E87">
        <v>50</v>
      </c>
      <c r="F87">
        <v>18.817499999999999</v>
      </c>
      <c r="G87">
        <v>0</v>
      </c>
      <c r="H87" t="s">
        <v>64</v>
      </c>
      <c r="I87" t="s">
        <v>65</v>
      </c>
      <c r="J87">
        <v>14.118</v>
      </c>
      <c r="K87">
        <v>18.817499999999999</v>
      </c>
      <c r="L87">
        <v>940.875</v>
      </c>
    </row>
    <row r="88" spans="1:12" x14ac:dyDescent="0.2">
      <c r="A88" t="s">
        <v>71</v>
      </c>
      <c r="B88" t="s">
        <v>72</v>
      </c>
      <c r="C88" t="s">
        <v>73</v>
      </c>
      <c r="D88" s="9">
        <v>44476</v>
      </c>
      <c r="E88">
        <v>50</v>
      </c>
      <c r="F88">
        <v>35.880000000000003</v>
      </c>
      <c r="G88">
        <v>0</v>
      </c>
      <c r="H88" t="s">
        <v>92</v>
      </c>
      <c r="I88" t="s">
        <v>93</v>
      </c>
      <c r="J88">
        <v>26.91</v>
      </c>
      <c r="K88">
        <v>35.880000000000003</v>
      </c>
      <c r="L88">
        <v>1794</v>
      </c>
    </row>
    <row r="89" spans="1:12" x14ac:dyDescent="0.2">
      <c r="A89" t="s">
        <v>94</v>
      </c>
      <c r="B89" t="s">
        <v>95</v>
      </c>
      <c r="C89" t="s">
        <v>96</v>
      </c>
      <c r="D89" s="9">
        <v>44474</v>
      </c>
      <c r="E89">
        <v>100</v>
      </c>
      <c r="F89">
        <v>38.024999999999999</v>
      </c>
      <c r="G89">
        <v>0</v>
      </c>
      <c r="H89" t="s">
        <v>97</v>
      </c>
      <c r="I89" t="s">
        <v>98</v>
      </c>
      <c r="J89">
        <v>28.528500000000001</v>
      </c>
      <c r="K89">
        <v>38.024999999999999</v>
      </c>
      <c r="L89">
        <v>3802.5</v>
      </c>
    </row>
    <row r="90" spans="1:12" x14ac:dyDescent="0.2">
      <c r="A90" t="s">
        <v>94</v>
      </c>
      <c r="B90" t="s">
        <v>95</v>
      </c>
      <c r="C90" t="s">
        <v>96</v>
      </c>
      <c r="D90" s="9">
        <v>44474</v>
      </c>
      <c r="E90">
        <v>50</v>
      </c>
      <c r="F90">
        <v>67.86</v>
      </c>
      <c r="G90">
        <v>0</v>
      </c>
      <c r="H90" t="s">
        <v>99</v>
      </c>
      <c r="I90" t="s">
        <v>100</v>
      </c>
      <c r="J90">
        <v>50.895000000000003</v>
      </c>
      <c r="K90">
        <v>67.86</v>
      </c>
      <c r="L90">
        <v>3393</v>
      </c>
    </row>
    <row r="91" spans="1:12" x14ac:dyDescent="0.2">
      <c r="A91" t="s">
        <v>66</v>
      </c>
      <c r="B91" t="s">
        <v>67</v>
      </c>
      <c r="C91" t="s">
        <v>68</v>
      </c>
      <c r="D91" s="9">
        <v>44477</v>
      </c>
      <c r="E91">
        <v>300</v>
      </c>
      <c r="F91">
        <v>27.3</v>
      </c>
      <c r="G91">
        <v>0</v>
      </c>
      <c r="H91" t="s">
        <v>34</v>
      </c>
      <c r="I91" t="s">
        <v>35</v>
      </c>
      <c r="J91">
        <v>20.475000000000001</v>
      </c>
      <c r="K91">
        <v>27.3</v>
      </c>
      <c r="L91">
        <v>8190</v>
      </c>
    </row>
    <row r="92" spans="1:12" x14ac:dyDescent="0.2">
      <c r="A92" t="s">
        <v>52</v>
      </c>
      <c r="B92" t="s">
        <v>53</v>
      </c>
      <c r="C92" t="s">
        <v>54</v>
      </c>
      <c r="D92" s="9">
        <v>44474</v>
      </c>
      <c r="E92">
        <v>25</v>
      </c>
      <c r="F92">
        <v>78</v>
      </c>
      <c r="G92">
        <v>0</v>
      </c>
      <c r="H92" t="s">
        <v>69</v>
      </c>
      <c r="I92" t="s">
        <v>70</v>
      </c>
      <c r="J92">
        <v>58.5</v>
      </c>
      <c r="K92">
        <v>78</v>
      </c>
      <c r="L92">
        <v>1950</v>
      </c>
    </row>
    <row r="93" spans="1:12" x14ac:dyDescent="0.2">
      <c r="A93" t="s">
        <v>52</v>
      </c>
      <c r="B93" t="s">
        <v>53</v>
      </c>
      <c r="C93" t="s">
        <v>54</v>
      </c>
      <c r="D93" s="9">
        <v>44474</v>
      </c>
      <c r="E93">
        <v>25</v>
      </c>
      <c r="F93">
        <v>17.940000000000001</v>
      </c>
      <c r="G93">
        <v>0</v>
      </c>
      <c r="H93" t="s">
        <v>55</v>
      </c>
      <c r="I93" t="s">
        <v>56</v>
      </c>
      <c r="J93">
        <v>13.455</v>
      </c>
      <c r="K93">
        <v>17.940000000000001</v>
      </c>
      <c r="L93">
        <v>448.5</v>
      </c>
    </row>
    <row r="94" spans="1:12" x14ac:dyDescent="0.2">
      <c r="A94" t="s">
        <v>101</v>
      </c>
      <c r="B94" t="s">
        <v>46</v>
      </c>
      <c r="C94" t="s">
        <v>102</v>
      </c>
      <c r="D94" s="9">
        <v>44474</v>
      </c>
      <c r="E94">
        <v>20</v>
      </c>
      <c r="F94">
        <v>19.5</v>
      </c>
      <c r="G94">
        <v>0</v>
      </c>
      <c r="H94" t="s">
        <v>103</v>
      </c>
      <c r="I94" t="s">
        <v>104</v>
      </c>
      <c r="J94">
        <v>14.625</v>
      </c>
      <c r="K94">
        <v>19.5</v>
      </c>
      <c r="L94">
        <v>390</v>
      </c>
    </row>
    <row r="95" spans="1:12" x14ac:dyDescent="0.2">
      <c r="A95" t="s">
        <v>105</v>
      </c>
      <c r="B95" t="s">
        <v>106</v>
      </c>
      <c r="C95" t="s">
        <v>107</v>
      </c>
      <c r="D95" s="9">
        <v>44474</v>
      </c>
      <c r="E95">
        <v>25</v>
      </c>
      <c r="F95">
        <v>41.6325</v>
      </c>
      <c r="G95">
        <v>0</v>
      </c>
      <c r="H95" t="s">
        <v>108</v>
      </c>
      <c r="I95" t="s">
        <v>109</v>
      </c>
      <c r="J95">
        <v>31.2195</v>
      </c>
      <c r="K95">
        <v>41.6325</v>
      </c>
      <c r="L95">
        <v>1040.8125</v>
      </c>
    </row>
    <row r="96" spans="1:12" x14ac:dyDescent="0.2">
      <c r="A96" t="s">
        <v>105</v>
      </c>
      <c r="B96" t="s">
        <v>106</v>
      </c>
      <c r="C96" t="s">
        <v>107</v>
      </c>
      <c r="D96" s="9">
        <v>44474</v>
      </c>
      <c r="E96">
        <v>30</v>
      </c>
      <c r="F96">
        <v>18.817499999999999</v>
      </c>
      <c r="G96">
        <v>0</v>
      </c>
      <c r="H96" t="s">
        <v>64</v>
      </c>
      <c r="I96" t="s">
        <v>65</v>
      </c>
      <c r="J96">
        <v>14.118</v>
      </c>
      <c r="K96">
        <v>18.817499999999999</v>
      </c>
      <c r="L96">
        <v>564.52499999999998</v>
      </c>
    </row>
    <row r="97" spans="1:12" x14ac:dyDescent="0.2">
      <c r="A97" t="s">
        <v>105</v>
      </c>
      <c r="B97" t="s">
        <v>106</v>
      </c>
      <c r="C97" t="s">
        <v>107</v>
      </c>
      <c r="D97" s="9">
        <v>44474</v>
      </c>
      <c r="E97">
        <v>30</v>
      </c>
      <c r="F97">
        <v>35.880000000000003</v>
      </c>
      <c r="G97">
        <v>0</v>
      </c>
      <c r="H97" t="s">
        <v>92</v>
      </c>
      <c r="I97" t="s">
        <v>93</v>
      </c>
      <c r="J97">
        <v>26.91</v>
      </c>
      <c r="K97">
        <v>35.880000000000003</v>
      </c>
      <c r="L97">
        <v>1076.4000000000001</v>
      </c>
    </row>
    <row r="98" spans="1:12" x14ac:dyDescent="0.2">
      <c r="A98" t="s">
        <v>66</v>
      </c>
      <c r="B98" t="s">
        <v>67</v>
      </c>
      <c r="C98" t="s">
        <v>68</v>
      </c>
      <c r="D98" s="9">
        <v>44472</v>
      </c>
      <c r="E98">
        <v>10</v>
      </c>
      <c r="F98">
        <v>24.862500000000001</v>
      </c>
      <c r="G98">
        <v>0</v>
      </c>
      <c r="H98" t="s">
        <v>59</v>
      </c>
      <c r="I98" t="s">
        <v>60</v>
      </c>
      <c r="J98">
        <v>18.641999999999999</v>
      </c>
      <c r="K98">
        <v>24.862500000000001</v>
      </c>
      <c r="L98">
        <v>248.625</v>
      </c>
    </row>
    <row r="99" spans="1:12" x14ac:dyDescent="0.2">
      <c r="A99" t="s">
        <v>57</v>
      </c>
      <c r="B99" t="s">
        <v>58</v>
      </c>
      <c r="C99" t="s">
        <v>40</v>
      </c>
      <c r="D99" s="9">
        <v>44474</v>
      </c>
      <c r="E99">
        <v>87</v>
      </c>
      <c r="F99">
        <v>27.3</v>
      </c>
      <c r="G99">
        <v>0</v>
      </c>
      <c r="H99" t="s">
        <v>34</v>
      </c>
      <c r="I99" t="s">
        <v>35</v>
      </c>
      <c r="J99">
        <v>20.475000000000001</v>
      </c>
      <c r="K99">
        <v>27.3</v>
      </c>
      <c r="L99">
        <v>2375.1</v>
      </c>
    </row>
    <row r="100" spans="1:12" x14ac:dyDescent="0.2">
      <c r="A100" t="s">
        <v>66</v>
      </c>
      <c r="B100" t="s">
        <v>67</v>
      </c>
      <c r="C100" t="s">
        <v>68</v>
      </c>
      <c r="D100" s="9">
        <v>44553</v>
      </c>
      <c r="E100">
        <v>30</v>
      </c>
      <c r="F100">
        <v>58.5</v>
      </c>
      <c r="G100">
        <v>0</v>
      </c>
      <c r="H100" t="s">
        <v>41</v>
      </c>
      <c r="I100" t="s">
        <v>42</v>
      </c>
      <c r="J100">
        <v>43.875</v>
      </c>
      <c r="K100">
        <v>58.5</v>
      </c>
      <c r="L100">
        <v>1755</v>
      </c>
    </row>
    <row r="101" spans="1:12" x14ac:dyDescent="0.2">
      <c r="A101" t="s">
        <v>66</v>
      </c>
      <c r="B101" t="s">
        <v>67</v>
      </c>
      <c r="C101" t="s">
        <v>68</v>
      </c>
      <c r="D101" s="9">
        <v>44553</v>
      </c>
      <c r="E101">
        <v>30</v>
      </c>
      <c r="F101">
        <v>103.35</v>
      </c>
      <c r="G101">
        <v>0</v>
      </c>
      <c r="H101" t="s">
        <v>43</v>
      </c>
      <c r="I101" t="s">
        <v>44</v>
      </c>
      <c r="J101">
        <v>77.512500000000003</v>
      </c>
      <c r="K101">
        <v>103.35</v>
      </c>
      <c r="L101">
        <v>3100.5</v>
      </c>
    </row>
    <row r="102" spans="1:12" x14ac:dyDescent="0.2">
      <c r="A102" t="s">
        <v>57</v>
      </c>
      <c r="B102" t="s">
        <v>58</v>
      </c>
      <c r="C102" t="s">
        <v>40</v>
      </c>
      <c r="D102" s="9">
        <v>44535</v>
      </c>
      <c r="E102">
        <v>40</v>
      </c>
      <c r="F102">
        <v>76.05</v>
      </c>
      <c r="G102">
        <v>0</v>
      </c>
      <c r="H102" t="s">
        <v>110</v>
      </c>
      <c r="I102" t="s">
        <v>111</v>
      </c>
      <c r="J102">
        <v>57.037500000000001</v>
      </c>
      <c r="K102">
        <v>76.05</v>
      </c>
      <c r="L102">
        <v>3042</v>
      </c>
    </row>
    <row r="103" spans="1:12" x14ac:dyDescent="0.2">
      <c r="A103" t="s">
        <v>105</v>
      </c>
      <c r="B103" t="s">
        <v>106</v>
      </c>
      <c r="C103" t="s">
        <v>107</v>
      </c>
      <c r="D103" s="9">
        <v>44535</v>
      </c>
      <c r="E103">
        <v>90</v>
      </c>
      <c r="F103">
        <v>48.75</v>
      </c>
      <c r="G103">
        <v>0</v>
      </c>
      <c r="H103" t="s">
        <v>82</v>
      </c>
      <c r="I103" t="s">
        <v>83</v>
      </c>
      <c r="J103">
        <v>36.5625</v>
      </c>
      <c r="K103">
        <v>48.75</v>
      </c>
      <c r="L103">
        <v>4387.5</v>
      </c>
    </row>
    <row r="104" spans="1:12" x14ac:dyDescent="0.2">
      <c r="A104" t="s">
        <v>101</v>
      </c>
      <c r="B104" t="s">
        <v>46</v>
      </c>
      <c r="C104" t="s">
        <v>102</v>
      </c>
      <c r="D104" s="9">
        <v>44535</v>
      </c>
      <c r="E104">
        <v>30</v>
      </c>
      <c r="F104">
        <v>42.9</v>
      </c>
      <c r="G104">
        <v>0</v>
      </c>
      <c r="H104" t="s">
        <v>84</v>
      </c>
      <c r="I104" t="s">
        <v>85</v>
      </c>
      <c r="J104">
        <v>32.174999999999997</v>
      </c>
      <c r="K104">
        <v>42.9</v>
      </c>
      <c r="L104">
        <v>1287</v>
      </c>
    </row>
    <row r="105" spans="1:12" x14ac:dyDescent="0.2">
      <c r="A105" t="s">
        <v>52</v>
      </c>
      <c r="B105" t="s">
        <v>53</v>
      </c>
      <c r="C105" t="s">
        <v>54</v>
      </c>
      <c r="D105" s="9">
        <v>44535</v>
      </c>
      <c r="E105">
        <v>40</v>
      </c>
      <c r="F105">
        <v>24.862500000000001</v>
      </c>
      <c r="G105">
        <v>0</v>
      </c>
      <c r="H105" t="s">
        <v>59</v>
      </c>
      <c r="I105" t="s">
        <v>60</v>
      </c>
      <c r="J105">
        <v>18.641999999999999</v>
      </c>
      <c r="K105">
        <v>24.862500000000001</v>
      </c>
      <c r="L105">
        <v>994.5</v>
      </c>
    </row>
    <row r="106" spans="1:12" x14ac:dyDescent="0.2">
      <c r="A106" t="s">
        <v>66</v>
      </c>
      <c r="B106" t="s">
        <v>67</v>
      </c>
      <c r="C106" t="s">
        <v>68</v>
      </c>
      <c r="D106" s="9">
        <v>44538</v>
      </c>
      <c r="E106">
        <v>40</v>
      </c>
      <c r="F106">
        <v>24.862500000000001</v>
      </c>
      <c r="G106">
        <v>0</v>
      </c>
      <c r="H106" t="s">
        <v>59</v>
      </c>
      <c r="I106" t="s">
        <v>60</v>
      </c>
      <c r="J106">
        <v>18.641999999999999</v>
      </c>
      <c r="K106">
        <v>24.862500000000001</v>
      </c>
      <c r="L106">
        <v>994.5</v>
      </c>
    </row>
    <row r="107" spans="1:12" x14ac:dyDescent="0.2">
      <c r="A107" t="s">
        <v>94</v>
      </c>
      <c r="B107" t="s">
        <v>95</v>
      </c>
      <c r="C107" t="s">
        <v>96</v>
      </c>
      <c r="D107" s="9">
        <v>44535</v>
      </c>
      <c r="E107">
        <v>10</v>
      </c>
      <c r="F107">
        <v>18.817499999999999</v>
      </c>
      <c r="G107">
        <v>0</v>
      </c>
      <c r="H107" t="s">
        <v>64</v>
      </c>
      <c r="I107" t="s">
        <v>65</v>
      </c>
      <c r="J107">
        <v>14.118</v>
      </c>
      <c r="K107">
        <v>18.817499999999999</v>
      </c>
      <c r="L107">
        <v>188.17500000000001</v>
      </c>
    </row>
    <row r="108" spans="1:12" x14ac:dyDescent="0.2">
      <c r="A108" t="s">
        <v>71</v>
      </c>
      <c r="B108" t="s">
        <v>72</v>
      </c>
      <c r="C108" t="s">
        <v>73</v>
      </c>
      <c r="D108" s="9">
        <v>44537</v>
      </c>
      <c r="E108">
        <v>5</v>
      </c>
      <c r="F108">
        <v>89.7</v>
      </c>
      <c r="G108">
        <v>0</v>
      </c>
      <c r="H108" t="s">
        <v>50</v>
      </c>
      <c r="I108" t="s">
        <v>51</v>
      </c>
      <c r="J108">
        <v>67.275000000000006</v>
      </c>
      <c r="K108">
        <v>89.7</v>
      </c>
      <c r="L108">
        <v>448.5</v>
      </c>
    </row>
    <row r="109" spans="1:12" x14ac:dyDescent="0.2">
      <c r="A109" t="s">
        <v>89</v>
      </c>
      <c r="B109" t="s">
        <v>90</v>
      </c>
      <c r="C109" t="s">
        <v>91</v>
      </c>
      <c r="D109" s="9">
        <v>44523</v>
      </c>
      <c r="E109">
        <v>40</v>
      </c>
      <c r="F109">
        <v>35.880000000000003</v>
      </c>
      <c r="G109">
        <v>0</v>
      </c>
      <c r="H109" t="s">
        <v>92</v>
      </c>
      <c r="I109" t="s">
        <v>93</v>
      </c>
      <c r="J109">
        <v>26.91</v>
      </c>
      <c r="K109">
        <v>35.880000000000003</v>
      </c>
      <c r="L109">
        <v>1435.2</v>
      </c>
    </row>
    <row r="110" spans="1:12" x14ac:dyDescent="0.2">
      <c r="A110" t="s">
        <v>86</v>
      </c>
      <c r="B110" t="s">
        <v>87</v>
      </c>
      <c r="C110" t="s">
        <v>88</v>
      </c>
      <c r="D110" s="9">
        <v>44523</v>
      </c>
      <c r="E110">
        <v>20</v>
      </c>
      <c r="F110">
        <v>78</v>
      </c>
      <c r="G110">
        <v>0</v>
      </c>
      <c r="H110" t="s">
        <v>69</v>
      </c>
      <c r="I110" t="s">
        <v>70</v>
      </c>
      <c r="J110">
        <v>58.5</v>
      </c>
      <c r="K110">
        <v>78</v>
      </c>
      <c r="L110">
        <v>1560</v>
      </c>
    </row>
    <row r="111" spans="1:12" x14ac:dyDescent="0.2">
      <c r="A111" t="s">
        <v>74</v>
      </c>
      <c r="B111" t="s">
        <v>75</v>
      </c>
      <c r="C111" t="s">
        <v>76</v>
      </c>
      <c r="D111" s="9">
        <v>44523</v>
      </c>
      <c r="E111">
        <v>15</v>
      </c>
      <c r="F111">
        <v>6.8250000000000002</v>
      </c>
      <c r="G111">
        <v>0</v>
      </c>
      <c r="H111" t="s">
        <v>36</v>
      </c>
      <c r="I111" t="s">
        <v>37</v>
      </c>
      <c r="J111">
        <v>5.85</v>
      </c>
      <c r="K111">
        <v>6.8250000000000002</v>
      </c>
      <c r="L111">
        <v>102.375</v>
      </c>
    </row>
    <row r="112" spans="1:12" x14ac:dyDescent="0.2">
      <c r="A112" t="s">
        <v>74</v>
      </c>
      <c r="B112" t="s">
        <v>75</v>
      </c>
      <c r="C112" t="s">
        <v>76</v>
      </c>
      <c r="D112" s="9">
        <v>44523</v>
      </c>
      <c r="E112">
        <v>20</v>
      </c>
      <c r="F112">
        <v>19.5</v>
      </c>
      <c r="G112">
        <v>0</v>
      </c>
      <c r="H112" t="s">
        <v>112</v>
      </c>
      <c r="I112" t="s">
        <v>113</v>
      </c>
      <c r="J112">
        <v>14.625</v>
      </c>
      <c r="K112">
        <v>19.5</v>
      </c>
      <c r="L112">
        <v>390</v>
      </c>
    </row>
    <row r="113" spans="1:12" x14ac:dyDescent="0.2">
      <c r="A113" t="s">
        <v>52</v>
      </c>
      <c r="B113" t="s">
        <v>53</v>
      </c>
      <c r="C113" t="s">
        <v>54</v>
      </c>
      <c r="D113" s="9">
        <v>44499</v>
      </c>
      <c r="E113">
        <v>40</v>
      </c>
      <c r="F113">
        <v>67.86</v>
      </c>
      <c r="G113">
        <v>0</v>
      </c>
      <c r="H113" t="s">
        <v>99</v>
      </c>
      <c r="I113" t="s">
        <v>100</v>
      </c>
      <c r="J113">
        <v>50.895000000000003</v>
      </c>
      <c r="K113">
        <v>67.86</v>
      </c>
      <c r="L113">
        <v>2714.4</v>
      </c>
    </row>
    <row r="114" spans="1:12" x14ac:dyDescent="0.2">
      <c r="A114" t="s">
        <v>61</v>
      </c>
      <c r="B114" t="s">
        <v>62</v>
      </c>
      <c r="C114" t="s">
        <v>63</v>
      </c>
      <c r="D114" s="9">
        <v>44494</v>
      </c>
      <c r="E114">
        <v>50</v>
      </c>
      <c r="F114">
        <v>19.5</v>
      </c>
      <c r="G114">
        <v>0</v>
      </c>
      <c r="H114" t="s">
        <v>114</v>
      </c>
      <c r="I114" t="s">
        <v>115</v>
      </c>
      <c r="J114">
        <v>14.625</v>
      </c>
      <c r="K114">
        <v>19.5</v>
      </c>
      <c r="L114">
        <v>975</v>
      </c>
    </row>
    <row r="115" spans="1:12" x14ac:dyDescent="0.2">
      <c r="A115" t="s">
        <v>61</v>
      </c>
      <c r="B115" t="s">
        <v>62</v>
      </c>
      <c r="C115" t="s">
        <v>63</v>
      </c>
      <c r="D115" s="9">
        <v>44494</v>
      </c>
      <c r="E115">
        <v>3</v>
      </c>
      <c r="F115">
        <v>78</v>
      </c>
      <c r="G115">
        <v>0</v>
      </c>
      <c r="H115" t="s">
        <v>69</v>
      </c>
      <c r="I115" t="s">
        <v>70</v>
      </c>
      <c r="J115">
        <v>58.5</v>
      </c>
      <c r="K115">
        <v>78</v>
      </c>
      <c r="L115">
        <v>234</v>
      </c>
    </row>
    <row r="116" spans="1:12" x14ac:dyDescent="0.2">
      <c r="A116" t="s">
        <v>38</v>
      </c>
      <c r="B116" t="s">
        <v>39</v>
      </c>
      <c r="C116" t="s">
        <v>40</v>
      </c>
      <c r="D116" s="9">
        <v>44491</v>
      </c>
      <c r="E116">
        <v>40</v>
      </c>
      <c r="F116">
        <v>157.94999999999999</v>
      </c>
      <c r="G116">
        <v>0</v>
      </c>
      <c r="H116" t="s">
        <v>82</v>
      </c>
      <c r="I116" t="s">
        <v>116</v>
      </c>
      <c r="J116">
        <v>118.46250000000001</v>
      </c>
      <c r="K116">
        <v>157.94999999999999</v>
      </c>
      <c r="L116">
        <v>6318</v>
      </c>
    </row>
    <row r="117" spans="1:12" x14ac:dyDescent="0.2">
      <c r="A117" t="s">
        <v>38</v>
      </c>
      <c r="B117" t="s">
        <v>39</v>
      </c>
      <c r="C117" t="s">
        <v>40</v>
      </c>
      <c r="D117" s="9">
        <v>44491</v>
      </c>
      <c r="E117">
        <v>40</v>
      </c>
      <c r="F117">
        <v>13.65</v>
      </c>
      <c r="G117">
        <v>0</v>
      </c>
      <c r="H117" t="s">
        <v>117</v>
      </c>
      <c r="I117" t="s">
        <v>118</v>
      </c>
      <c r="J117">
        <v>10.237500000000001</v>
      </c>
      <c r="K117">
        <v>13.65</v>
      </c>
      <c r="L117">
        <v>546</v>
      </c>
    </row>
    <row r="118" spans="1:12" x14ac:dyDescent="0.2">
      <c r="A118" t="s">
        <v>38</v>
      </c>
      <c r="B118" t="s">
        <v>39</v>
      </c>
      <c r="C118" t="s">
        <v>40</v>
      </c>
      <c r="D118" s="9">
        <v>44494</v>
      </c>
      <c r="E118">
        <v>10</v>
      </c>
      <c r="F118">
        <v>74.099999999999994</v>
      </c>
      <c r="G118">
        <v>0</v>
      </c>
      <c r="H118" t="s">
        <v>119</v>
      </c>
      <c r="I118" t="s">
        <v>120</v>
      </c>
      <c r="J118">
        <v>55.575000000000003</v>
      </c>
      <c r="K118">
        <v>74.099999999999994</v>
      </c>
      <c r="L118">
        <v>741</v>
      </c>
    </row>
    <row r="119" spans="1:12" x14ac:dyDescent="0.2">
      <c r="A119" t="s">
        <v>61</v>
      </c>
      <c r="B119" t="s">
        <v>62</v>
      </c>
      <c r="C119" t="s">
        <v>63</v>
      </c>
      <c r="D119" s="9">
        <v>44494</v>
      </c>
      <c r="E119">
        <v>25</v>
      </c>
      <c r="F119">
        <v>5.8304999999999998</v>
      </c>
      <c r="G119">
        <v>0</v>
      </c>
      <c r="H119" t="s">
        <v>77</v>
      </c>
      <c r="I119" t="s">
        <v>78</v>
      </c>
      <c r="J119">
        <v>3.9</v>
      </c>
      <c r="K119">
        <v>5.8304999999999998</v>
      </c>
      <c r="L119">
        <v>145.76249999999999</v>
      </c>
    </row>
    <row r="120" spans="1:12" x14ac:dyDescent="0.2">
      <c r="A120" t="s">
        <v>61</v>
      </c>
      <c r="B120" t="s">
        <v>62</v>
      </c>
      <c r="C120" t="s">
        <v>63</v>
      </c>
      <c r="D120" s="9">
        <v>44494</v>
      </c>
      <c r="E120">
        <v>18</v>
      </c>
      <c r="F120">
        <v>74.099999999999994</v>
      </c>
      <c r="G120">
        <v>0</v>
      </c>
      <c r="H120" t="s">
        <v>119</v>
      </c>
      <c r="I120" t="s">
        <v>120</v>
      </c>
      <c r="J120">
        <v>55.575000000000003</v>
      </c>
      <c r="K120">
        <v>74.099999999999994</v>
      </c>
      <c r="L120">
        <v>1333.8</v>
      </c>
    </row>
    <row r="121" spans="1:12" x14ac:dyDescent="0.2">
      <c r="A121" t="s">
        <v>121</v>
      </c>
      <c r="B121" t="s">
        <v>122</v>
      </c>
      <c r="C121" t="s">
        <v>123</v>
      </c>
      <c r="D121" s="9">
        <v>44481</v>
      </c>
      <c r="E121">
        <v>10</v>
      </c>
      <c r="F121">
        <v>35.1</v>
      </c>
      <c r="G121">
        <v>0</v>
      </c>
      <c r="H121" t="s">
        <v>48</v>
      </c>
      <c r="I121" t="s">
        <v>49</v>
      </c>
      <c r="J121">
        <v>26.324999999999999</v>
      </c>
      <c r="K121">
        <v>35.1</v>
      </c>
      <c r="L121">
        <v>351</v>
      </c>
    </row>
    <row r="122" spans="1:12" x14ac:dyDescent="0.2">
      <c r="A122" t="s">
        <v>121</v>
      </c>
      <c r="B122" t="s">
        <v>122</v>
      </c>
      <c r="C122" t="s">
        <v>123</v>
      </c>
      <c r="D122" s="9">
        <v>44481</v>
      </c>
      <c r="E122">
        <v>50</v>
      </c>
      <c r="F122">
        <v>3.8025000000000002</v>
      </c>
      <c r="G122">
        <v>0</v>
      </c>
      <c r="H122" t="s">
        <v>124</v>
      </c>
      <c r="I122" t="s">
        <v>125</v>
      </c>
      <c r="J122">
        <v>1.95</v>
      </c>
      <c r="K122">
        <v>3.8025000000000002</v>
      </c>
      <c r="L122">
        <v>190.125</v>
      </c>
    </row>
    <row r="123" spans="1:12" x14ac:dyDescent="0.2">
      <c r="A123" t="s">
        <v>71</v>
      </c>
      <c r="B123" t="s">
        <v>72</v>
      </c>
      <c r="C123" t="s">
        <v>73</v>
      </c>
      <c r="D123" s="9">
        <v>44485</v>
      </c>
      <c r="E123">
        <v>45</v>
      </c>
      <c r="F123">
        <v>3.8025000000000002</v>
      </c>
      <c r="G123">
        <v>0</v>
      </c>
      <c r="H123" t="s">
        <v>124</v>
      </c>
      <c r="I123" t="s">
        <v>125</v>
      </c>
      <c r="J123">
        <v>1.95</v>
      </c>
      <c r="K123">
        <v>3.8025000000000002</v>
      </c>
      <c r="L123">
        <v>171.11250000000001</v>
      </c>
    </row>
    <row r="124" spans="1:12" x14ac:dyDescent="0.2">
      <c r="A124" t="s">
        <v>31</v>
      </c>
      <c r="B124" t="s">
        <v>32</v>
      </c>
      <c r="C124" t="s">
        <v>33</v>
      </c>
      <c r="D124" s="9">
        <v>44571</v>
      </c>
      <c r="E124">
        <v>95</v>
      </c>
      <c r="F124">
        <v>27.709499999999998</v>
      </c>
      <c r="G124">
        <v>0</v>
      </c>
      <c r="H124" t="s">
        <v>34</v>
      </c>
      <c r="I124" t="s">
        <v>35</v>
      </c>
      <c r="J124">
        <v>20.475000000000001</v>
      </c>
      <c r="K124">
        <v>27.3</v>
      </c>
      <c r="L124">
        <v>2632.4025000000001</v>
      </c>
    </row>
    <row r="125" spans="1:12" x14ac:dyDescent="0.2">
      <c r="A125" t="s">
        <v>31</v>
      </c>
      <c r="B125" t="s">
        <v>32</v>
      </c>
      <c r="C125" t="s">
        <v>33</v>
      </c>
      <c r="D125" s="9">
        <v>44571</v>
      </c>
      <c r="E125">
        <v>28.5</v>
      </c>
      <c r="F125">
        <v>6.9225000000000003</v>
      </c>
      <c r="G125">
        <v>0</v>
      </c>
      <c r="H125" t="s">
        <v>36</v>
      </c>
      <c r="I125" t="s">
        <v>37</v>
      </c>
      <c r="J125">
        <v>5.85</v>
      </c>
      <c r="K125">
        <v>6.8250000000000002</v>
      </c>
      <c r="L125">
        <v>197.29124999999999</v>
      </c>
    </row>
    <row r="126" spans="1:12" x14ac:dyDescent="0.2">
      <c r="A126" t="s">
        <v>38</v>
      </c>
      <c r="B126" t="s">
        <v>39</v>
      </c>
      <c r="C126" t="s">
        <v>40</v>
      </c>
      <c r="D126" s="9">
        <v>44576</v>
      </c>
      <c r="E126">
        <v>9.5</v>
      </c>
      <c r="F126">
        <v>59.377499999999998</v>
      </c>
      <c r="G126">
        <v>0</v>
      </c>
      <c r="H126" t="s">
        <v>41</v>
      </c>
      <c r="I126" t="s">
        <v>42</v>
      </c>
      <c r="J126">
        <v>43.875</v>
      </c>
      <c r="K126">
        <v>58.5</v>
      </c>
      <c r="L126">
        <v>564.08624999999995</v>
      </c>
    </row>
    <row r="127" spans="1:12" x14ac:dyDescent="0.2">
      <c r="A127" t="s">
        <v>38</v>
      </c>
      <c r="B127" t="s">
        <v>39</v>
      </c>
      <c r="C127" t="s">
        <v>40</v>
      </c>
      <c r="D127" s="9">
        <v>44576</v>
      </c>
      <c r="E127">
        <v>9.5</v>
      </c>
      <c r="F127">
        <v>104.91</v>
      </c>
      <c r="G127">
        <v>0</v>
      </c>
      <c r="H127" t="s">
        <v>43</v>
      </c>
      <c r="I127" t="s">
        <v>44</v>
      </c>
      <c r="J127">
        <v>77.512500000000003</v>
      </c>
      <c r="K127">
        <v>103.35</v>
      </c>
      <c r="L127">
        <v>996.64499999999998</v>
      </c>
    </row>
    <row r="128" spans="1:12" x14ac:dyDescent="0.2">
      <c r="A128" t="s">
        <v>38</v>
      </c>
      <c r="B128" t="s">
        <v>39</v>
      </c>
      <c r="C128" t="s">
        <v>40</v>
      </c>
      <c r="D128" s="9">
        <v>44576</v>
      </c>
      <c r="E128">
        <v>9.5</v>
      </c>
      <c r="F128">
        <v>6.9225000000000003</v>
      </c>
      <c r="G128">
        <v>0</v>
      </c>
      <c r="H128" t="s">
        <v>36</v>
      </c>
      <c r="I128" t="s">
        <v>37</v>
      </c>
      <c r="J128">
        <v>5.85</v>
      </c>
      <c r="K128">
        <v>6.8250000000000002</v>
      </c>
      <c r="L128">
        <v>65.763750000000002</v>
      </c>
    </row>
    <row r="129" spans="1:12" x14ac:dyDescent="0.2">
      <c r="A129" t="s">
        <v>45</v>
      </c>
      <c r="B129" t="s">
        <v>46</v>
      </c>
      <c r="C129" t="s">
        <v>47</v>
      </c>
      <c r="D129" s="9">
        <v>44578</v>
      </c>
      <c r="E129">
        <v>14.25</v>
      </c>
      <c r="F129">
        <v>35.6265</v>
      </c>
      <c r="G129">
        <v>0</v>
      </c>
      <c r="H129" t="s">
        <v>48</v>
      </c>
      <c r="I129" t="s">
        <v>49</v>
      </c>
      <c r="J129">
        <v>26.324999999999999</v>
      </c>
      <c r="K129">
        <v>35.1</v>
      </c>
      <c r="L129">
        <v>507.67762499999998</v>
      </c>
    </row>
    <row r="130" spans="1:12" x14ac:dyDescent="0.2">
      <c r="A130" t="s">
        <v>45</v>
      </c>
      <c r="B130" t="s">
        <v>46</v>
      </c>
      <c r="C130" t="s">
        <v>47</v>
      </c>
      <c r="D130" s="9">
        <v>44578</v>
      </c>
      <c r="E130">
        <v>19</v>
      </c>
      <c r="F130">
        <v>91.045500000000004</v>
      </c>
      <c r="G130">
        <v>0</v>
      </c>
      <c r="H130" t="s">
        <v>50</v>
      </c>
      <c r="I130" t="s">
        <v>51</v>
      </c>
      <c r="J130">
        <v>67.275000000000006</v>
      </c>
      <c r="K130">
        <v>89.7</v>
      </c>
      <c r="L130">
        <v>1729.8644999999999</v>
      </c>
    </row>
    <row r="131" spans="1:12" x14ac:dyDescent="0.2">
      <c r="A131" t="s">
        <v>52</v>
      </c>
      <c r="B131" t="s">
        <v>53</v>
      </c>
      <c r="C131" t="s">
        <v>54</v>
      </c>
      <c r="D131" s="9">
        <v>44586</v>
      </c>
      <c r="E131">
        <v>28.5</v>
      </c>
      <c r="F131">
        <v>18.213000000000001</v>
      </c>
      <c r="G131">
        <v>0</v>
      </c>
      <c r="H131" t="s">
        <v>55</v>
      </c>
      <c r="I131" t="s">
        <v>56</v>
      </c>
      <c r="J131">
        <v>13.455</v>
      </c>
      <c r="K131">
        <v>17.940000000000001</v>
      </c>
      <c r="L131">
        <v>519.07050000000004</v>
      </c>
    </row>
    <row r="132" spans="1:12" x14ac:dyDescent="0.2">
      <c r="A132" t="s">
        <v>38</v>
      </c>
      <c r="B132" t="s">
        <v>39</v>
      </c>
      <c r="C132" t="s">
        <v>40</v>
      </c>
      <c r="D132" s="9">
        <v>44593</v>
      </c>
      <c r="E132">
        <v>19</v>
      </c>
      <c r="F132">
        <v>18.213000000000001</v>
      </c>
      <c r="G132">
        <v>0</v>
      </c>
      <c r="H132" t="s">
        <v>55</v>
      </c>
      <c r="I132" t="s">
        <v>56</v>
      </c>
      <c r="J132">
        <v>13.455</v>
      </c>
      <c r="K132">
        <v>17.940000000000001</v>
      </c>
      <c r="L132">
        <v>346.04700000000003</v>
      </c>
    </row>
    <row r="133" spans="1:12" x14ac:dyDescent="0.2">
      <c r="A133" t="s">
        <v>57</v>
      </c>
      <c r="B133" t="s">
        <v>58</v>
      </c>
      <c r="C133" t="s">
        <v>40</v>
      </c>
      <c r="D133" s="9">
        <v>44597</v>
      </c>
      <c r="E133">
        <v>9.5</v>
      </c>
      <c r="F133">
        <v>25.233000000000001</v>
      </c>
      <c r="G133">
        <v>0</v>
      </c>
      <c r="H133" t="s">
        <v>59</v>
      </c>
      <c r="I133" t="s">
        <v>60</v>
      </c>
      <c r="J133">
        <v>18.641999999999999</v>
      </c>
      <c r="K133">
        <v>24.862500000000001</v>
      </c>
      <c r="L133">
        <v>239.71350000000001</v>
      </c>
    </row>
    <row r="134" spans="1:12" x14ac:dyDescent="0.2">
      <c r="A134" t="s">
        <v>61</v>
      </c>
      <c r="B134" t="s">
        <v>62</v>
      </c>
      <c r="C134" t="s">
        <v>63</v>
      </c>
      <c r="D134" s="9">
        <v>44610</v>
      </c>
      <c r="E134">
        <v>190</v>
      </c>
      <c r="F134">
        <v>19.090499999999999</v>
      </c>
      <c r="G134">
        <v>0</v>
      </c>
      <c r="H134" t="s">
        <v>64</v>
      </c>
      <c r="I134" t="s">
        <v>65</v>
      </c>
      <c r="J134">
        <v>14.118</v>
      </c>
      <c r="K134">
        <v>18.817499999999999</v>
      </c>
      <c r="L134">
        <v>3627.1950000000002</v>
      </c>
    </row>
    <row r="135" spans="1:12" x14ac:dyDescent="0.2">
      <c r="A135" t="s">
        <v>66</v>
      </c>
      <c r="B135" t="s">
        <v>67</v>
      </c>
      <c r="C135" t="s">
        <v>68</v>
      </c>
      <c r="D135" s="9">
        <v>44621</v>
      </c>
      <c r="E135">
        <v>16.149999999999999</v>
      </c>
      <c r="F135">
        <v>79.17</v>
      </c>
      <c r="G135">
        <v>0</v>
      </c>
      <c r="H135" t="s">
        <v>69</v>
      </c>
      <c r="I135" t="s">
        <v>70</v>
      </c>
      <c r="J135">
        <v>58.5</v>
      </c>
      <c r="K135">
        <v>78</v>
      </c>
      <c r="L135">
        <v>1278.5954999999999</v>
      </c>
    </row>
    <row r="136" spans="1:12" x14ac:dyDescent="0.2">
      <c r="A136" t="s">
        <v>71</v>
      </c>
      <c r="B136" t="s">
        <v>72</v>
      </c>
      <c r="C136" t="s">
        <v>73</v>
      </c>
      <c r="D136" s="9">
        <v>44625</v>
      </c>
      <c r="E136">
        <v>285</v>
      </c>
      <c r="F136">
        <v>91.045500000000004</v>
      </c>
      <c r="G136">
        <v>0</v>
      </c>
      <c r="H136" t="s">
        <v>50</v>
      </c>
      <c r="I136" t="s">
        <v>51</v>
      </c>
      <c r="J136">
        <v>67.275000000000006</v>
      </c>
      <c r="K136">
        <v>89.7</v>
      </c>
      <c r="L136">
        <v>25947.967499999999</v>
      </c>
    </row>
    <row r="137" spans="1:12" x14ac:dyDescent="0.2">
      <c r="A137" t="s">
        <v>52</v>
      </c>
      <c r="B137" t="s">
        <v>53</v>
      </c>
      <c r="C137" t="s">
        <v>54</v>
      </c>
      <c r="D137" s="9">
        <v>44637</v>
      </c>
      <c r="E137">
        <v>95</v>
      </c>
      <c r="F137">
        <v>25.233000000000001</v>
      </c>
      <c r="G137">
        <v>0</v>
      </c>
      <c r="H137" t="s">
        <v>59</v>
      </c>
      <c r="I137" t="s">
        <v>60</v>
      </c>
      <c r="J137">
        <v>18.641999999999999</v>
      </c>
      <c r="K137">
        <v>24.862500000000001</v>
      </c>
      <c r="L137">
        <v>2397.1350000000002</v>
      </c>
    </row>
    <row r="138" spans="1:12" x14ac:dyDescent="0.2">
      <c r="A138" t="s">
        <v>74</v>
      </c>
      <c r="B138" t="s">
        <v>75</v>
      </c>
      <c r="C138" t="s">
        <v>76</v>
      </c>
      <c r="D138" s="9">
        <v>44639</v>
      </c>
      <c r="E138">
        <v>190</v>
      </c>
      <c r="F138">
        <v>5.9085000000000001</v>
      </c>
      <c r="G138">
        <v>0</v>
      </c>
      <c r="H138" t="s">
        <v>77</v>
      </c>
      <c r="I138" t="s">
        <v>78</v>
      </c>
      <c r="J138">
        <v>3.9</v>
      </c>
      <c r="K138">
        <v>5.8304999999999998</v>
      </c>
      <c r="L138">
        <v>1122.615</v>
      </c>
    </row>
    <row r="139" spans="1:12" x14ac:dyDescent="0.2">
      <c r="A139" t="s">
        <v>79</v>
      </c>
      <c r="B139" t="s">
        <v>80</v>
      </c>
      <c r="C139" t="s">
        <v>81</v>
      </c>
      <c r="D139" s="9">
        <v>44639</v>
      </c>
      <c r="E139">
        <v>285</v>
      </c>
      <c r="F139">
        <v>91.045500000000004</v>
      </c>
      <c r="G139">
        <v>0</v>
      </c>
      <c r="H139" t="s">
        <v>50</v>
      </c>
      <c r="I139" t="s">
        <v>51</v>
      </c>
      <c r="J139">
        <v>67.275000000000006</v>
      </c>
      <c r="K139">
        <v>89.7</v>
      </c>
      <c r="L139">
        <v>25947.967499999999</v>
      </c>
    </row>
    <row r="140" spans="1:12" x14ac:dyDescent="0.2">
      <c r="A140" t="s">
        <v>74</v>
      </c>
      <c r="B140" t="s">
        <v>75</v>
      </c>
      <c r="C140" t="s">
        <v>76</v>
      </c>
      <c r="D140" s="9">
        <v>44639</v>
      </c>
      <c r="E140">
        <v>9.5</v>
      </c>
      <c r="F140">
        <v>49.491</v>
      </c>
      <c r="G140">
        <v>0</v>
      </c>
      <c r="H140" t="s">
        <v>82</v>
      </c>
      <c r="I140" t="s">
        <v>83</v>
      </c>
      <c r="J140">
        <v>36.5625</v>
      </c>
      <c r="K140">
        <v>48.75</v>
      </c>
      <c r="L140">
        <v>470.16449999999998</v>
      </c>
    </row>
    <row r="141" spans="1:12" x14ac:dyDescent="0.2">
      <c r="A141" t="s">
        <v>74</v>
      </c>
      <c r="B141" t="s">
        <v>75</v>
      </c>
      <c r="C141" t="s">
        <v>76</v>
      </c>
      <c r="D141" s="9">
        <v>44639</v>
      </c>
      <c r="E141">
        <v>9.5</v>
      </c>
      <c r="F141">
        <v>43.543500000000002</v>
      </c>
      <c r="G141">
        <v>0</v>
      </c>
      <c r="H141" t="s">
        <v>84</v>
      </c>
      <c r="I141" t="s">
        <v>85</v>
      </c>
      <c r="J141">
        <v>32.174999999999997</v>
      </c>
      <c r="K141">
        <v>42.9</v>
      </c>
      <c r="L141">
        <v>413.66325000000001</v>
      </c>
    </row>
    <row r="142" spans="1:12" x14ac:dyDescent="0.2">
      <c r="A142" t="s">
        <v>74</v>
      </c>
      <c r="B142" t="s">
        <v>75</v>
      </c>
      <c r="C142" t="s">
        <v>76</v>
      </c>
      <c r="D142" s="9">
        <v>44639</v>
      </c>
      <c r="E142">
        <v>9.5</v>
      </c>
      <c r="F142">
        <v>18.213000000000001</v>
      </c>
      <c r="G142">
        <v>0</v>
      </c>
      <c r="H142" t="s">
        <v>55</v>
      </c>
      <c r="I142" t="s">
        <v>56</v>
      </c>
      <c r="J142">
        <v>13.455</v>
      </c>
      <c r="K142">
        <v>17.940000000000001</v>
      </c>
      <c r="L142">
        <v>173.02350000000001</v>
      </c>
    </row>
    <row r="143" spans="1:12" x14ac:dyDescent="0.2">
      <c r="A143" t="s">
        <v>86</v>
      </c>
      <c r="B143" t="s">
        <v>87</v>
      </c>
      <c r="C143" t="s">
        <v>88</v>
      </c>
      <c r="D143" s="9">
        <v>44639</v>
      </c>
      <c r="E143">
        <v>19</v>
      </c>
      <c r="F143">
        <v>6.9225000000000003</v>
      </c>
      <c r="G143">
        <v>0</v>
      </c>
      <c r="H143" t="s">
        <v>36</v>
      </c>
      <c r="I143" t="s">
        <v>37</v>
      </c>
      <c r="J143">
        <v>5.85</v>
      </c>
      <c r="K143">
        <v>6.8250000000000002</v>
      </c>
      <c r="L143">
        <v>131.5275</v>
      </c>
    </row>
    <row r="144" spans="1:12" x14ac:dyDescent="0.2">
      <c r="A144" t="s">
        <v>86</v>
      </c>
      <c r="B144" t="s">
        <v>87</v>
      </c>
      <c r="C144" t="s">
        <v>88</v>
      </c>
      <c r="D144" s="9">
        <v>44639</v>
      </c>
      <c r="E144">
        <v>47.5</v>
      </c>
      <c r="F144">
        <v>5.9085000000000001</v>
      </c>
      <c r="G144">
        <v>0</v>
      </c>
      <c r="H144" t="s">
        <v>77</v>
      </c>
      <c r="I144" t="s">
        <v>78</v>
      </c>
      <c r="J144">
        <v>3.9</v>
      </c>
      <c r="K144">
        <v>5.8304999999999998</v>
      </c>
      <c r="L144">
        <v>280.65375</v>
      </c>
    </row>
    <row r="145" spans="1:12" x14ac:dyDescent="0.2">
      <c r="A145" t="s">
        <v>89</v>
      </c>
      <c r="B145" t="s">
        <v>90</v>
      </c>
      <c r="C145" t="s">
        <v>91</v>
      </c>
      <c r="D145" s="9">
        <v>44639</v>
      </c>
      <c r="E145">
        <v>23.75</v>
      </c>
      <c r="F145">
        <v>35.6265</v>
      </c>
      <c r="G145">
        <v>0</v>
      </c>
      <c r="H145" t="s">
        <v>48</v>
      </c>
      <c r="I145" t="s">
        <v>49</v>
      </c>
      <c r="J145">
        <v>26.324999999999999</v>
      </c>
      <c r="K145">
        <v>35.1</v>
      </c>
      <c r="L145">
        <v>846.12937499999998</v>
      </c>
    </row>
    <row r="146" spans="1:12" x14ac:dyDescent="0.2">
      <c r="A146" t="s">
        <v>89</v>
      </c>
      <c r="B146" t="s">
        <v>90</v>
      </c>
      <c r="C146" t="s">
        <v>91</v>
      </c>
      <c r="D146" s="9">
        <v>44639</v>
      </c>
      <c r="E146">
        <v>23.75</v>
      </c>
      <c r="F146">
        <v>91.045500000000004</v>
      </c>
      <c r="G146">
        <v>0</v>
      </c>
      <c r="H146" t="s">
        <v>50</v>
      </c>
      <c r="I146" t="s">
        <v>51</v>
      </c>
      <c r="J146">
        <v>67.275000000000006</v>
      </c>
      <c r="K146">
        <v>89.7</v>
      </c>
      <c r="L146">
        <v>2162.3306250000001</v>
      </c>
    </row>
    <row r="147" spans="1:12" x14ac:dyDescent="0.2">
      <c r="A147" t="s">
        <v>89</v>
      </c>
      <c r="B147" t="s">
        <v>90</v>
      </c>
      <c r="C147" t="s">
        <v>91</v>
      </c>
      <c r="D147" s="9">
        <v>44639</v>
      </c>
      <c r="E147">
        <v>23.75</v>
      </c>
      <c r="F147">
        <v>5.9085000000000001</v>
      </c>
      <c r="G147">
        <v>0</v>
      </c>
      <c r="H147" t="s">
        <v>77</v>
      </c>
      <c r="I147" t="s">
        <v>78</v>
      </c>
      <c r="J147">
        <v>3.9</v>
      </c>
      <c r="K147">
        <v>5.8304999999999998</v>
      </c>
      <c r="L147">
        <v>140.326875</v>
      </c>
    </row>
    <row r="148" spans="1:12" x14ac:dyDescent="0.2">
      <c r="A148" t="s">
        <v>71</v>
      </c>
      <c r="B148" t="s">
        <v>72</v>
      </c>
      <c r="C148" t="s">
        <v>73</v>
      </c>
      <c r="D148" s="9">
        <v>44653</v>
      </c>
      <c r="E148">
        <v>47.5</v>
      </c>
      <c r="F148">
        <v>19.090499999999999</v>
      </c>
      <c r="G148">
        <v>0</v>
      </c>
      <c r="H148" t="s">
        <v>64</v>
      </c>
      <c r="I148" t="s">
        <v>65</v>
      </c>
      <c r="J148">
        <v>14.118</v>
      </c>
      <c r="K148">
        <v>18.817499999999999</v>
      </c>
      <c r="L148">
        <v>906.79875000000004</v>
      </c>
    </row>
    <row r="149" spans="1:12" x14ac:dyDescent="0.2">
      <c r="A149" t="s">
        <v>71</v>
      </c>
      <c r="B149" t="s">
        <v>72</v>
      </c>
      <c r="C149" t="s">
        <v>73</v>
      </c>
      <c r="D149" s="9">
        <v>44653</v>
      </c>
      <c r="E149">
        <v>47.5</v>
      </c>
      <c r="F149">
        <v>36.426000000000002</v>
      </c>
      <c r="G149">
        <v>0</v>
      </c>
      <c r="H149" t="s">
        <v>92</v>
      </c>
      <c r="I149" t="s">
        <v>93</v>
      </c>
      <c r="J149">
        <v>26.91</v>
      </c>
      <c r="K149">
        <v>35.880000000000003</v>
      </c>
      <c r="L149">
        <v>1730.2349999999999</v>
      </c>
    </row>
    <row r="150" spans="1:12" x14ac:dyDescent="0.2">
      <c r="A150" t="s">
        <v>94</v>
      </c>
      <c r="B150" t="s">
        <v>95</v>
      </c>
      <c r="C150" t="s">
        <v>96</v>
      </c>
      <c r="D150" s="9">
        <v>44651</v>
      </c>
      <c r="E150">
        <v>95</v>
      </c>
      <c r="F150">
        <v>38.590499999999999</v>
      </c>
      <c r="G150">
        <v>0</v>
      </c>
      <c r="H150" t="s">
        <v>97</v>
      </c>
      <c r="I150" t="s">
        <v>98</v>
      </c>
      <c r="J150">
        <v>28.528500000000001</v>
      </c>
      <c r="K150">
        <v>38.024999999999999</v>
      </c>
      <c r="L150">
        <v>3666.0974999999999</v>
      </c>
    </row>
    <row r="151" spans="1:12" x14ac:dyDescent="0.2">
      <c r="A151" t="s">
        <v>94</v>
      </c>
      <c r="B151" t="s">
        <v>95</v>
      </c>
      <c r="C151" t="s">
        <v>96</v>
      </c>
      <c r="D151" s="9">
        <v>44651</v>
      </c>
      <c r="E151">
        <v>47.5</v>
      </c>
      <c r="F151">
        <v>68.873999999999995</v>
      </c>
      <c r="G151">
        <v>0</v>
      </c>
      <c r="H151" t="s">
        <v>99</v>
      </c>
      <c r="I151" t="s">
        <v>100</v>
      </c>
      <c r="J151">
        <v>50.895000000000003</v>
      </c>
      <c r="K151">
        <v>67.86</v>
      </c>
      <c r="L151">
        <v>3271.5149999999999</v>
      </c>
    </row>
    <row r="152" spans="1:12" x14ac:dyDescent="0.2">
      <c r="A152" t="s">
        <v>66</v>
      </c>
      <c r="B152" t="s">
        <v>67</v>
      </c>
      <c r="C152" t="s">
        <v>68</v>
      </c>
      <c r="D152" s="9">
        <v>44654</v>
      </c>
      <c r="E152">
        <v>285</v>
      </c>
      <c r="F152">
        <v>27.709499999999998</v>
      </c>
      <c r="G152">
        <v>0</v>
      </c>
      <c r="H152" t="s">
        <v>34</v>
      </c>
      <c r="I152" t="s">
        <v>35</v>
      </c>
      <c r="J152">
        <v>20.475000000000001</v>
      </c>
      <c r="K152">
        <v>27.3</v>
      </c>
      <c r="L152">
        <v>7897.2075000000004</v>
      </c>
    </row>
    <row r="153" spans="1:12" x14ac:dyDescent="0.2">
      <c r="A153" t="s">
        <v>52</v>
      </c>
      <c r="B153" t="s">
        <v>53</v>
      </c>
      <c r="C153" t="s">
        <v>54</v>
      </c>
      <c r="D153" s="9">
        <v>44651</v>
      </c>
      <c r="E153">
        <v>23.75</v>
      </c>
      <c r="F153">
        <v>79.17</v>
      </c>
      <c r="G153">
        <v>0</v>
      </c>
      <c r="H153" t="s">
        <v>69</v>
      </c>
      <c r="I153" t="s">
        <v>70</v>
      </c>
      <c r="J153">
        <v>58.5</v>
      </c>
      <c r="K153">
        <v>78</v>
      </c>
      <c r="L153">
        <v>1880.2874999999999</v>
      </c>
    </row>
    <row r="154" spans="1:12" x14ac:dyDescent="0.2">
      <c r="A154" t="s">
        <v>52</v>
      </c>
      <c r="B154" t="s">
        <v>53</v>
      </c>
      <c r="C154" t="s">
        <v>54</v>
      </c>
      <c r="D154" s="9">
        <v>44651</v>
      </c>
      <c r="E154">
        <v>23.75</v>
      </c>
      <c r="F154">
        <v>18.213000000000001</v>
      </c>
      <c r="G154">
        <v>0</v>
      </c>
      <c r="H154" t="s">
        <v>55</v>
      </c>
      <c r="I154" t="s">
        <v>56</v>
      </c>
      <c r="J154">
        <v>13.455</v>
      </c>
      <c r="K154">
        <v>17.940000000000001</v>
      </c>
      <c r="L154">
        <v>432.55874999999997</v>
      </c>
    </row>
    <row r="155" spans="1:12" x14ac:dyDescent="0.2">
      <c r="A155" t="s">
        <v>101</v>
      </c>
      <c r="B155" t="s">
        <v>46</v>
      </c>
      <c r="C155" t="s">
        <v>102</v>
      </c>
      <c r="D155" s="9">
        <v>44651</v>
      </c>
      <c r="E155">
        <v>19</v>
      </c>
      <c r="F155">
        <v>19.7925</v>
      </c>
      <c r="G155">
        <v>0</v>
      </c>
      <c r="H155" t="s">
        <v>103</v>
      </c>
      <c r="I155" t="s">
        <v>104</v>
      </c>
      <c r="J155">
        <v>14.625</v>
      </c>
      <c r="K155">
        <v>19.5</v>
      </c>
      <c r="L155">
        <v>376.0575</v>
      </c>
    </row>
    <row r="156" spans="1:12" x14ac:dyDescent="0.2">
      <c r="A156" t="s">
        <v>105</v>
      </c>
      <c r="B156" t="s">
        <v>106</v>
      </c>
      <c r="C156" t="s">
        <v>107</v>
      </c>
      <c r="D156" s="9">
        <v>44651</v>
      </c>
      <c r="E156">
        <v>23.75</v>
      </c>
      <c r="F156">
        <v>42.256500000000003</v>
      </c>
      <c r="G156">
        <v>0</v>
      </c>
      <c r="H156" t="s">
        <v>108</v>
      </c>
      <c r="I156" t="s">
        <v>109</v>
      </c>
      <c r="J156">
        <v>31.2195</v>
      </c>
      <c r="K156">
        <v>41.6325</v>
      </c>
      <c r="L156">
        <v>1003.591875</v>
      </c>
    </row>
    <row r="157" spans="1:12" x14ac:dyDescent="0.2">
      <c r="A157" t="s">
        <v>105</v>
      </c>
      <c r="B157" t="s">
        <v>106</v>
      </c>
      <c r="C157" t="s">
        <v>107</v>
      </c>
      <c r="D157" s="9">
        <v>44651</v>
      </c>
      <c r="E157">
        <v>28.5</v>
      </c>
      <c r="F157">
        <v>19.090499999999999</v>
      </c>
      <c r="G157">
        <v>0</v>
      </c>
      <c r="H157" t="s">
        <v>64</v>
      </c>
      <c r="I157" t="s">
        <v>65</v>
      </c>
      <c r="J157">
        <v>14.118</v>
      </c>
      <c r="K157">
        <v>18.817499999999999</v>
      </c>
      <c r="L157">
        <v>544.07925</v>
      </c>
    </row>
    <row r="158" spans="1:12" x14ac:dyDescent="0.2">
      <c r="A158" t="s">
        <v>105</v>
      </c>
      <c r="B158" t="s">
        <v>106</v>
      </c>
      <c r="C158" t="s">
        <v>107</v>
      </c>
      <c r="D158" s="9">
        <v>44651</v>
      </c>
      <c r="E158">
        <v>28.5</v>
      </c>
      <c r="F158">
        <v>36.426000000000002</v>
      </c>
      <c r="G158">
        <v>0</v>
      </c>
      <c r="H158" t="s">
        <v>92</v>
      </c>
      <c r="I158" t="s">
        <v>93</v>
      </c>
      <c r="J158">
        <v>26.91</v>
      </c>
      <c r="K158">
        <v>35.880000000000003</v>
      </c>
      <c r="L158">
        <v>1038.1410000000001</v>
      </c>
    </row>
    <row r="159" spans="1:12" x14ac:dyDescent="0.2">
      <c r="A159" t="s">
        <v>66</v>
      </c>
      <c r="B159" t="s">
        <v>67</v>
      </c>
      <c r="C159" t="s">
        <v>68</v>
      </c>
      <c r="D159" s="9">
        <v>44649</v>
      </c>
      <c r="E159">
        <v>9.5</v>
      </c>
      <c r="F159">
        <v>25.233000000000001</v>
      </c>
      <c r="G159">
        <v>0</v>
      </c>
      <c r="H159" t="s">
        <v>59</v>
      </c>
      <c r="I159" t="s">
        <v>60</v>
      </c>
      <c r="J159">
        <v>18.641999999999999</v>
      </c>
      <c r="K159">
        <v>24.862500000000001</v>
      </c>
      <c r="L159">
        <v>239.71350000000001</v>
      </c>
    </row>
    <row r="160" spans="1:12" x14ac:dyDescent="0.2">
      <c r="A160" t="s">
        <v>57</v>
      </c>
      <c r="B160" t="s">
        <v>58</v>
      </c>
      <c r="C160" t="s">
        <v>40</v>
      </c>
      <c r="D160" s="9">
        <v>44651</v>
      </c>
      <c r="E160">
        <v>82.65</v>
      </c>
      <c r="F160">
        <v>27.709499999999998</v>
      </c>
      <c r="G160">
        <v>0</v>
      </c>
      <c r="H160" t="s">
        <v>34</v>
      </c>
      <c r="I160" t="s">
        <v>35</v>
      </c>
      <c r="J160">
        <v>20.475000000000001</v>
      </c>
      <c r="K160">
        <v>27.3</v>
      </c>
      <c r="L160">
        <v>2290.1901750000002</v>
      </c>
    </row>
    <row r="161" spans="1:12" x14ac:dyDescent="0.2">
      <c r="A161" t="s">
        <v>66</v>
      </c>
      <c r="B161" t="s">
        <v>67</v>
      </c>
      <c r="C161" t="s">
        <v>68</v>
      </c>
      <c r="D161" s="9">
        <v>44730</v>
      </c>
      <c r="E161">
        <v>28.5</v>
      </c>
      <c r="F161">
        <v>59.377499999999998</v>
      </c>
      <c r="G161">
        <v>0</v>
      </c>
      <c r="H161" t="s">
        <v>41</v>
      </c>
      <c r="I161" t="s">
        <v>42</v>
      </c>
      <c r="J161">
        <v>43.875</v>
      </c>
      <c r="K161">
        <v>58.5</v>
      </c>
      <c r="L161">
        <v>1692.25875</v>
      </c>
    </row>
    <row r="162" spans="1:12" x14ac:dyDescent="0.2">
      <c r="A162" t="s">
        <v>66</v>
      </c>
      <c r="B162" t="s">
        <v>67</v>
      </c>
      <c r="C162" t="s">
        <v>68</v>
      </c>
      <c r="D162" s="9">
        <v>44730</v>
      </c>
      <c r="E162">
        <v>28.5</v>
      </c>
      <c r="F162">
        <v>104.91</v>
      </c>
      <c r="G162">
        <v>0</v>
      </c>
      <c r="H162" t="s">
        <v>43</v>
      </c>
      <c r="I162" t="s">
        <v>44</v>
      </c>
      <c r="J162">
        <v>77.512500000000003</v>
      </c>
      <c r="K162">
        <v>103.35</v>
      </c>
      <c r="L162">
        <v>2989.9349999999999</v>
      </c>
    </row>
    <row r="163" spans="1:12" x14ac:dyDescent="0.2">
      <c r="A163" t="s">
        <v>57</v>
      </c>
      <c r="B163" t="s">
        <v>58</v>
      </c>
      <c r="C163" t="s">
        <v>40</v>
      </c>
      <c r="D163" s="9">
        <v>44712</v>
      </c>
      <c r="E163">
        <v>38</v>
      </c>
      <c r="F163">
        <v>77.200500000000005</v>
      </c>
      <c r="G163">
        <v>0</v>
      </c>
      <c r="H163" t="s">
        <v>110</v>
      </c>
      <c r="I163" t="s">
        <v>111</v>
      </c>
      <c r="J163">
        <v>57.037500000000001</v>
      </c>
      <c r="K163">
        <v>76.05</v>
      </c>
      <c r="L163">
        <v>2933.6190000000001</v>
      </c>
    </row>
    <row r="164" spans="1:12" x14ac:dyDescent="0.2">
      <c r="A164" t="s">
        <v>105</v>
      </c>
      <c r="B164" t="s">
        <v>106</v>
      </c>
      <c r="C164" t="s">
        <v>107</v>
      </c>
      <c r="D164" s="9">
        <v>44712</v>
      </c>
      <c r="E164">
        <v>85.5</v>
      </c>
      <c r="F164">
        <v>49.491</v>
      </c>
      <c r="G164">
        <v>0</v>
      </c>
      <c r="H164" t="s">
        <v>82</v>
      </c>
      <c r="I164" t="s">
        <v>83</v>
      </c>
      <c r="J164">
        <v>36.5625</v>
      </c>
      <c r="K164">
        <v>48.75</v>
      </c>
      <c r="L164">
        <v>4231.4804999999997</v>
      </c>
    </row>
    <row r="165" spans="1:12" x14ac:dyDescent="0.2">
      <c r="A165" t="s">
        <v>101</v>
      </c>
      <c r="B165" t="s">
        <v>46</v>
      </c>
      <c r="C165" t="s">
        <v>102</v>
      </c>
      <c r="D165" s="9">
        <v>44712</v>
      </c>
      <c r="E165">
        <v>28.5</v>
      </c>
      <c r="F165">
        <v>43.543500000000002</v>
      </c>
      <c r="G165">
        <v>0</v>
      </c>
      <c r="H165" t="s">
        <v>84</v>
      </c>
      <c r="I165" t="s">
        <v>85</v>
      </c>
      <c r="J165">
        <v>32.174999999999997</v>
      </c>
      <c r="K165">
        <v>42.9</v>
      </c>
      <c r="L165">
        <v>1240.98975</v>
      </c>
    </row>
    <row r="166" spans="1:12" x14ac:dyDescent="0.2">
      <c r="A166" t="s">
        <v>52</v>
      </c>
      <c r="B166" t="s">
        <v>53</v>
      </c>
      <c r="C166" t="s">
        <v>54</v>
      </c>
      <c r="D166" s="9">
        <v>44712</v>
      </c>
      <c r="E166">
        <v>38</v>
      </c>
      <c r="F166">
        <v>25.233000000000001</v>
      </c>
      <c r="G166">
        <v>0</v>
      </c>
      <c r="H166" t="s">
        <v>59</v>
      </c>
      <c r="I166" t="s">
        <v>60</v>
      </c>
      <c r="J166">
        <v>18.641999999999999</v>
      </c>
      <c r="K166">
        <v>24.862500000000001</v>
      </c>
      <c r="L166">
        <v>958.85400000000004</v>
      </c>
    </row>
    <row r="167" spans="1:12" x14ac:dyDescent="0.2">
      <c r="A167" t="s">
        <v>66</v>
      </c>
      <c r="B167" t="s">
        <v>67</v>
      </c>
      <c r="C167" t="s">
        <v>68</v>
      </c>
      <c r="D167" s="9">
        <v>44715</v>
      </c>
      <c r="E167">
        <v>38</v>
      </c>
      <c r="F167">
        <v>25.233000000000001</v>
      </c>
      <c r="G167">
        <v>0</v>
      </c>
      <c r="H167" t="s">
        <v>59</v>
      </c>
      <c r="I167" t="s">
        <v>60</v>
      </c>
      <c r="J167">
        <v>18.641999999999999</v>
      </c>
      <c r="K167">
        <v>24.862500000000001</v>
      </c>
      <c r="L167">
        <v>958.85400000000004</v>
      </c>
    </row>
    <row r="168" spans="1:12" x14ac:dyDescent="0.2">
      <c r="A168" t="s">
        <v>94</v>
      </c>
      <c r="B168" t="s">
        <v>95</v>
      </c>
      <c r="C168" t="s">
        <v>96</v>
      </c>
      <c r="D168" s="9">
        <v>44712</v>
      </c>
      <c r="E168">
        <v>9.5</v>
      </c>
      <c r="F168">
        <v>19.090499999999999</v>
      </c>
      <c r="G168">
        <v>0</v>
      </c>
      <c r="H168" t="s">
        <v>64</v>
      </c>
      <c r="I168" t="s">
        <v>65</v>
      </c>
      <c r="J168">
        <v>14.118</v>
      </c>
      <c r="K168">
        <v>18.817499999999999</v>
      </c>
      <c r="L168">
        <v>181.35974999999999</v>
      </c>
    </row>
    <row r="169" spans="1:12" x14ac:dyDescent="0.2">
      <c r="A169" t="s">
        <v>71</v>
      </c>
      <c r="B169" t="s">
        <v>72</v>
      </c>
      <c r="C169" t="s">
        <v>73</v>
      </c>
      <c r="D169" s="9">
        <v>44714</v>
      </c>
      <c r="E169">
        <v>4.75</v>
      </c>
      <c r="F169">
        <v>91.045500000000004</v>
      </c>
      <c r="G169">
        <v>0</v>
      </c>
      <c r="H169" t="s">
        <v>50</v>
      </c>
      <c r="I169" t="s">
        <v>51</v>
      </c>
      <c r="J169">
        <v>67.275000000000006</v>
      </c>
      <c r="K169">
        <v>89.7</v>
      </c>
      <c r="L169">
        <v>432.46612499999998</v>
      </c>
    </row>
    <row r="170" spans="1:12" x14ac:dyDescent="0.2">
      <c r="A170" t="s">
        <v>89</v>
      </c>
      <c r="B170" t="s">
        <v>90</v>
      </c>
      <c r="C170" t="s">
        <v>91</v>
      </c>
      <c r="D170" s="9">
        <v>44700</v>
      </c>
      <c r="E170">
        <v>38</v>
      </c>
      <c r="F170">
        <v>36.426000000000002</v>
      </c>
      <c r="G170">
        <v>0</v>
      </c>
      <c r="H170" t="s">
        <v>92</v>
      </c>
      <c r="I170" t="s">
        <v>93</v>
      </c>
      <c r="J170">
        <v>26.91</v>
      </c>
      <c r="K170">
        <v>35.880000000000003</v>
      </c>
      <c r="L170">
        <v>1384.1880000000001</v>
      </c>
    </row>
    <row r="171" spans="1:12" x14ac:dyDescent="0.2">
      <c r="A171" t="s">
        <v>86</v>
      </c>
      <c r="B171" t="s">
        <v>87</v>
      </c>
      <c r="C171" t="s">
        <v>88</v>
      </c>
      <c r="D171" s="9">
        <v>44700</v>
      </c>
      <c r="E171">
        <v>19</v>
      </c>
      <c r="F171">
        <v>79.17</v>
      </c>
      <c r="G171">
        <v>0</v>
      </c>
      <c r="H171" t="s">
        <v>69</v>
      </c>
      <c r="I171" t="s">
        <v>70</v>
      </c>
      <c r="J171">
        <v>58.5</v>
      </c>
      <c r="K171">
        <v>78</v>
      </c>
      <c r="L171">
        <v>1504.23</v>
      </c>
    </row>
    <row r="172" spans="1:12" x14ac:dyDescent="0.2">
      <c r="A172" t="s">
        <v>74</v>
      </c>
      <c r="B172" t="s">
        <v>75</v>
      </c>
      <c r="C172" t="s">
        <v>76</v>
      </c>
      <c r="D172" s="9">
        <v>44700</v>
      </c>
      <c r="E172">
        <v>14.25</v>
      </c>
      <c r="F172">
        <v>6.9225000000000003</v>
      </c>
      <c r="G172">
        <v>0</v>
      </c>
      <c r="H172" t="s">
        <v>36</v>
      </c>
      <c r="I172" t="s">
        <v>37</v>
      </c>
      <c r="J172">
        <v>5.85</v>
      </c>
      <c r="K172">
        <v>6.8250000000000002</v>
      </c>
      <c r="L172">
        <v>98.645624999999995</v>
      </c>
    </row>
    <row r="173" spans="1:12" x14ac:dyDescent="0.2">
      <c r="A173" t="s">
        <v>74</v>
      </c>
      <c r="B173" t="s">
        <v>75</v>
      </c>
      <c r="C173" t="s">
        <v>76</v>
      </c>
      <c r="D173" s="9">
        <v>44700</v>
      </c>
      <c r="E173">
        <v>19</v>
      </c>
      <c r="F173">
        <v>19.7925</v>
      </c>
      <c r="G173">
        <v>0</v>
      </c>
      <c r="H173" t="s">
        <v>112</v>
      </c>
      <c r="I173" t="s">
        <v>113</v>
      </c>
      <c r="J173">
        <v>14.625</v>
      </c>
      <c r="K173">
        <v>19.5</v>
      </c>
      <c r="L173">
        <v>376.0575</v>
      </c>
    </row>
    <row r="174" spans="1:12" x14ac:dyDescent="0.2">
      <c r="A174" t="s">
        <v>52</v>
      </c>
      <c r="B174" t="s">
        <v>53</v>
      </c>
      <c r="C174" t="s">
        <v>54</v>
      </c>
      <c r="D174" s="9">
        <v>44676</v>
      </c>
      <c r="E174">
        <v>38</v>
      </c>
      <c r="F174">
        <v>68.873999999999995</v>
      </c>
      <c r="G174">
        <v>0</v>
      </c>
      <c r="H174" t="s">
        <v>99</v>
      </c>
      <c r="I174" t="s">
        <v>100</v>
      </c>
      <c r="J174">
        <v>50.895000000000003</v>
      </c>
      <c r="K174">
        <v>67.86</v>
      </c>
      <c r="L174">
        <v>2617.212</v>
      </c>
    </row>
    <row r="175" spans="1:12" x14ac:dyDescent="0.2">
      <c r="A175" t="s">
        <v>61</v>
      </c>
      <c r="B175" t="s">
        <v>62</v>
      </c>
      <c r="C175" t="s">
        <v>63</v>
      </c>
      <c r="D175" s="9">
        <v>44671</v>
      </c>
      <c r="E175">
        <v>47.5</v>
      </c>
      <c r="F175">
        <v>19.7925</v>
      </c>
      <c r="G175">
        <v>0</v>
      </c>
      <c r="H175" t="s">
        <v>114</v>
      </c>
      <c r="I175" t="s">
        <v>115</v>
      </c>
      <c r="J175">
        <v>14.625</v>
      </c>
      <c r="K175">
        <v>19.5</v>
      </c>
      <c r="L175">
        <v>940.14374999999995</v>
      </c>
    </row>
    <row r="176" spans="1:12" x14ac:dyDescent="0.2">
      <c r="A176" t="s">
        <v>61</v>
      </c>
      <c r="B176" t="s">
        <v>62</v>
      </c>
      <c r="C176" t="s">
        <v>63</v>
      </c>
      <c r="D176" s="9">
        <v>44671</v>
      </c>
      <c r="E176">
        <v>2.85</v>
      </c>
      <c r="F176">
        <v>79.17</v>
      </c>
      <c r="G176">
        <v>0</v>
      </c>
      <c r="H176" t="s">
        <v>69</v>
      </c>
      <c r="I176" t="s">
        <v>70</v>
      </c>
      <c r="J176">
        <v>58.5</v>
      </c>
      <c r="K176">
        <v>78</v>
      </c>
      <c r="L176">
        <v>225.6345</v>
      </c>
    </row>
    <row r="177" spans="1:12" x14ac:dyDescent="0.2">
      <c r="A177" t="s">
        <v>38</v>
      </c>
      <c r="B177" t="s">
        <v>39</v>
      </c>
      <c r="C177" t="s">
        <v>40</v>
      </c>
      <c r="D177" s="9">
        <v>44668</v>
      </c>
      <c r="E177">
        <v>38</v>
      </c>
      <c r="F177">
        <v>160.32900000000001</v>
      </c>
      <c r="G177">
        <v>0</v>
      </c>
      <c r="H177" t="s">
        <v>82</v>
      </c>
      <c r="I177" t="s">
        <v>116</v>
      </c>
      <c r="J177">
        <v>118.46250000000001</v>
      </c>
      <c r="K177">
        <v>157.94999999999999</v>
      </c>
      <c r="L177">
        <v>6092.5020000000004</v>
      </c>
    </row>
    <row r="178" spans="1:12" x14ac:dyDescent="0.2">
      <c r="A178" t="s">
        <v>38</v>
      </c>
      <c r="B178" t="s">
        <v>39</v>
      </c>
      <c r="C178" t="s">
        <v>40</v>
      </c>
      <c r="D178" s="9">
        <v>44668</v>
      </c>
      <c r="E178">
        <v>38</v>
      </c>
      <c r="F178">
        <v>13.8645</v>
      </c>
      <c r="G178">
        <v>0</v>
      </c>
      <c r="H178" t="s">
        <v>117</v>
      </c>
      <c r="I178" t="s">
        <v>118</v>
      </c>
      <c r="J178">
        <v>10.237500000000001</v>
      </c>
      <c r="K178">
        <v>13.65</v>
      </c>
      <c r="L178">
        <v>526.851</v>
      </c>
    </row>
    <row r="179" spans="1:12" x14ac:dyDescent="0.2">
      <c r="A179" t="s">
        <v>38</v>
      </c>
      <c r="B179" t="s">
        <v>39</v>
      </c>
      <c r="C179" t="s">
        <v>40</v>
      </c>
      <c r="D179" s="9">
        <v>44671</v>
      </c>
      <c r="E179">
        <v>9.5</v>
      </c>
      <c r="F179">
        <v>75.211500000000001</v>
      </c>
      <c r="G179">
        <v>0</v>
      </c>
      <c r="H179" t="s">
        <v>119</v>
      </c>
      <c r="I179" t="s">
        <v>120</v>
      </c>
      <c r="J179">
        <v>55.575000000000003</v>
      </c>
      <c r="K179">
        <v>74.099999999999994</v>
      </c>
      <c r="L179">
        <v>714.50924999999995</v>
      </c>
    </row>
    <row r="180" spans="1:12" x14ac:dyDescent="0.2">
      <c r="A180" t="s">
        <v>61</v>
      </c>
      <c r="B180" t="s">
        <v>62</v>
      </c>
      <c r="C180" t="s">
        <v>63</v>
      </c>
      <c r="D180" s="9">
        <v>44671</v>
      </c>
      <c r="E180">
        <v>23.75</v>
      </c>
      <c r="F180">
        <v>5.9085000000000001</v>
      </c>
      <c r="G180">
        <v>0</v>
      </c>
      <c r="H180" t="s">
        <v>77</v>
      </c>
      <c r="I180" t="s">
        <v>78</v>
      </c>
      <c r="J180">
        <v>3.9</v>
      </c>
      <c r="K180">
        <v>5.8304999999999998</v>
      </c>
      <c r="L180">
        <v>140.326875</v>
      </c>
    </row>
    <row r="181" spans="1:12" x14ac:dyDescent="0.2">
      <c r="A181" t="s">
        <v>61</v>
      </c>
      <c r="B181" t="s">
        <v>62</v>
      </c>
      <c r="C181" t="s">
        <v>63</v>
      </c>
      <c r="D181" s="9">
        <v>44671</v>
      </c>
      <c r="E181">
        <v>17.100000000000001</v>
      </c>
      <c r="F181">
        <v>75.211500000000001</v>
      </c>
      <c r="G181">
        <v>0</v>
      </c>
      <c r="H181" t="s">
        <v>119</v>
      </c>
      <c r="I181" t="s">
        <v>120</v>
      </c>
      <c r="J181">
        <v>55.575000000000003</v>
      </c>
      <c r="K181">
        <v>74.099999999999994</v>
      </c>
      <c r="L181">
        <v>1286.1166499999999</v>
      </c>
    </row>
    <row r="182" spans="1:12" x14ac:dyDescent="0.2">
      <c r="A182" t="s">
        <v>121</v>
      </c>
      <c r="B182" t="s">
        <v>122</v>
      </c>
      <c r="C182" t="s">
        <v>123</v>
      </c>
      <c r="D182" s="9">
        <v>44658</v>
      </c>
      <c r="E182">
        <v>9.5</v>
      </c>
      <c r="F182">
        <v>35.6265</v>
      </c>
      <c r="G182">
        <v>0</v>
      </c>
      <c r="H182" t="s">
        <v>48</v>
      </c>
      <c r="I182" t="s">
        <v>49</v>
      </c>
      <c r="J182">
        <v>26.324999999999999</v>
      </c>
      <c r="K182">
        <v>35.1</v>
      </c>
      <c r="L182">
        <v>338.45175</v>
      </c>
    </row>
    <row r="183" spans="1:12" x14ac:dyDescent="0.2">
      <c r="A183" t="s">
        <v>121</v>
      </c>
      <c r="B183" t="s">
        <v>122</v>
      </c>
      <c r="C183" t="s">
        <v>123</v>
      </c>
      <c r="D183" s="9">
        <v>44658</v>
      </c>
      <c r="E183">
        <v>47.5</v>
      </c>
      <c r="F183">
        <v>3.8610000000000002</v>
      </c>
      <c r="G183">
        <v>0</v>
      </c>
      <c r="H183" t="s">
        <v>124</v>
      </c>
      <c r="I183" t="s">
        <v>125</v>
      </c>
      <c r="J183">
        <v>1.95</v>
      </c>
      <c r="K183">
        <v>3.8025000000000002</v>
      </c>
      <c r="L183">
        <v>183.39750000000001</v>
      </c>
    </row>
    <row r="184" spans="1:12" x14ac:dyDescent="0.2">
      <c r="A184" t="s">
        <v>71</v>
      </c>
      <c r="B184" t="s">
        <v>72</v>
      </c>
      <c r="C184" t="s">
        <v>73</v>
      </c>
      <c r="D184" s="9">
        <v>44662</v>
      </c>
      <c r="E184">
        <v>42.75</v>
      </c>
      <c r="F184">
        <v>3.8610000000000002</v>
      </c>
      <c r="G184">
        <v>0</v>
      </c>
      <c r="H184" t="s">
        <v>124</v>
      </c>
      <c r="I184" t="s">
        <v>125</v>
      </c>
      <c r="J184">
        <v>1.95</v>
      </c>
      <c r="K184">
        <v>3.8025000000000002</v>
      </c>
      <c r="L184">
        <v>165.05775</v>
      </c>
    </row>
    <row r="185" spans="1:12" x14ac:dyDescent="0.2">
      <c r="A185" t="s">
        <v>31</v>
      </c>
      <c r="B185" t="s">
        <v>32</v>
      </c>
      <c r="C185" t="s">
        <v>33</v>
      </c>
      <c r="D185" s="9">
        <v>44754</v>
      </c>
      <c r="E185">
        <v>95</v>
      </c>
      <c r="F185">
        <v>27.709499999999998</v>
      </c>
      <c r="G185">
        <v>0</v>
      </c>
      <c r="H185" t="s">
        <v>34</v>
      </c>
      <c r="I185" t="s">
        <v>35</v>
      </c>
      <c r="J185">
        <v>20.475000000000001</v>
      </c>
      <c r="K185">
        <v>27.3</v>
      </c>
      <c r="L185">
        <v>2632.4025000000001</v>
      </c>
    </row>
    <row r="186" spans="1:12" x14ac:dyDescent="0.2">
      <c r="A186" t="s">
        <v>31</v>
      </c>
      <c r="B186" t="s">
        <v>32</v>
      </c>
      <c r="C186" t="s">
        <v>33</v>
      </c>
      <c r="D186" s="9">
        <v>44754</v>
      </c>
      <c r="E186">
        <v>28.5</v>
      </c>
      <c r="F186">
        <v>6.9225000000000003</v>
      </c>
      <c r="G186">
        <v>0</v>
      </c>
      <c r="H186" t="s">
        <v>36</v>
      </c>
      <c r="I186" t="s">
        <v>37</v>
      </c>
      <c r="J186">
        <v>5.85</v>
      </c>
      <c r="K186">
        <v>6.8250000000000002</v>
      </c>
      <c r="L186">
        <v>197.29124999999999</v>
      </c>
    </row>
    <row r="187" spans="1:12" x14ac:dyDescent="0.2">
      <c r="A187" t="s">
        <v>38</v>
      </c>
      <c r="B187" t="s">
        <v>39</v>
      </c>
      <c r="C187" t="s">
        <v>40</v>
      </c>
      <c r="D187" s="9">
        <v>44759</v>
      </c>
      <c r="E187">
        <v>9.5</v>
      </c>
      <c r="F187">
        <v>59.377499999999998</v>
      </c>
      <c r="G187">
        <v>0</v>
      </c>
      <c r="H187" t="s">
        <v>41</v>
      </c>
      <c r="I187" t="s">
        <v>42</v>
      </c>
      <c r="J187">
        <v>43.875</v>
      </c>
      <c r="K187">
        <v>58.5</v>
      </c>
      <c r="L187">
        <v>564.08624999999995</v>
      </c>
    </row>
    <row r="188" spans="1:12" x14ac:dyDescent="0.2">
      <c r="A188" t="s">
        <v>38</v>
      </c>
      <c r="B188" t="s">
        <v>39</v>
      </c>
      <c r="C188" t="s">
        <v>40</v>
      </c>
      <c r="D188" s="9">
        <v>44759</v>
      </c>
      <c r="E188">
        <v>9.5</v>
      </c>
      <c r="F188">
        <v>104.91</v>
      </c>
      <c r="G188">
        <v>0</v>
      </c>
      <c r="H188" t="s">
        <v>43</v>
      </c>
      <c r="I188" t="s">
        <v>44</v>
      </c>
      <c r="J188">
        <v>77.512500000000003</v>
      </c>
      <c r="K188">
        <v>103.35</v>
      </c>
      <c r="L188">
        <v>996.64499999999998</v>
      </c>
    </row>
    <row r="189" spans="1:12" x14ac:dyDescent="0.2">
      <c r="A189" t="s">
        <v>38</v>
      </c>
      <c r="B189" t="s">
        <v>39</v>
      </c>
      <c r="C189" t="s">
        <v>40</v>
      </c>
      <c r="D189" s="9">
        <v>44759</v>
      </c>
      <c r="E189">
        <v>9.5</v>
      </c>
      <c r="F189">
        <v>6.9225000000000003</v>
      </c>
      <c r="G189">
        <v>0</v>
      </c>
      <c r="H189" t="s">
        <v>36</v>
      </c>
      <c r="I189" t="s">
        <v>37</v>
      </c>
      <c r="J189">
        <v>5.85</v>
      </c>
      <c r="K189">
        <v>6.8250000000000002</v>
      </c>
      <c r="L189">
        <v>65.763750000000002</v>
      </c>
    </row>
    <row r="190" spans="1:12" x14ac:dyDescent="0.2">
      <c r="A190" t="s">
        <v>45</v>
      </c>
      <c r="B190" t="s">
        <v>46</v>
      </c>
      <c r="C190" t="s">
        <v>47</v>
      </c>
      <c r="D190" s="9">
        <v>44761</v>
      </c>
      <c r="E190">
        <v>14.25</v>
      </c>
      <c r="F190">
        <v>35.6265</v>
      </c>
      <c r="G190">
        <v>0</v>
      </c>
      <c r="H190" t="s">
        <v>48</v>
      </c>
      <c r="I190" t="s">
        <v>49</v>
      </c>
      <c r="J190">
        <v>26.324999999999999</v>
      </c>
      <c r="K190">
        <v>35.1</v>
      </c>
      <c r="L190">
        <v>507.67762499999998</v>
      </c>
    </row>
    <row r="191" spans="1:12" x14ac:dyDescent="0.2">
      <c r="A191" t="s">
        <v>45</v>
      </c>
      <c r="B191" t="s">
        <v>46</v>
      </c>
      <c r="C191" t="s">
        <v>47</v>
      </c>
      <c r="D191" s="9">
        <v>44761</v>
      </c>
      <c r="E191">
        <v>19</v>
      </c>
      <c r="F191">
        <v>91.045500000000004</v>
      </c>
      <c r="G191">
        <v>0</v>
      </c>
      <c r="H191" t="s">
        <v>50</v>
      </c>
      <c r="I191" t="s">
        <v>51</v>
      </c>
      <c r="J191">
        <v>67.275000000000006</v>
      </c>
      <c r="K191">
        <v>89.7</v>
      </c>
      <c r="L191">
        <v>1729.8644999999999</v>
      </c>
    </row>
    <row r="192" spans="1:12" x14ac:dyDescent="0.2">
      <c r="A192" t="s">
        <v>52</v>
      </c>
      <c r="B192" t="s">
        <v>53</v>
      </c>
      <c r="C192" t="s">
        <v>54</v>
      </c>
      <c r="D192" s="9">
        <v>44769</v>
      </c>
      <c r="E192">
        <v>28.5</v>
      </c>
      <c r="F192">
        <v>18.213000000000001</v>
      </c>
      <c r="G192">
        <v>0</v>
      </c>
      <c r="H192" t="s">
        <v>55</v>
      </c>
      <c r="I192" t="s">
        <v>56</v>
      </c>
      <c r="J192">
        <v>13.455</v>
      </c>
      <c r="K192">
        <v>17.940000000000001</v>
      </c>
      <c r="L192">
        <v>519.07050000000004</v>
      </c>
    </row>
    <row r="193" spans="1:12" x14ac:dyDescent="0.2">
      <c r="A193" t="s">
        <v>38</v>
      </c>
      <c r="B193" t="s">
        <v>39</v>
      </c>
      <c r="C193" t="s">
        <v>40</v>
      </c>
      <c r="D193" s="9">
        <v>44776</v>
      </c>
      <c r="E193">
        <v>19</v>
      </c>
      <c r="F193">
        <v>18.213000000000001</v>
      </c>
      <c r="G193">
        <v>0</v>
      </c>
      <c r="H193" t="s">
        <v>55</v>
      </c>
      <c r="I193" t="s">
        <v>56</v>
      </c>
      <c r="J193">
        <v>13.455</v>
      </c>
      <c r="K193">
        <v>17.940000000000001</v>
      </c>
      <c r="L193">
        <v>346.04700000000003</v>
      </c>
    </row>
    <row r="194" spans="1:12" x14ac:dyDescent="0.2">
      <c r="A194" t="s">
        <v>57</v>
      </c>
      <c r="B194" t="s">
        <v>58</v>
      </c>
      <c r="C194" t="s">
        <v>40</v>
      </c>
      <c r="D194" s="9">
        <v>44780</v>
      </c>
      <c r="E194">
        <v>9.5</v>
      </c>
      <c r="F194">
        <v>25.233000000000001</v>
      </c>
      <c r="G194">
        <v>0</v>
      </c>
      <c r="H194" t="s">
        <v>59</v>
      </c>
      <c r="I194" t="s">
        <v>60</v>
      </c>
      <c r="J194">
        <v>18.641999999999999</v>
      </c>
      <c r="K194">
        <v>24.862500000000001</v>
      </c>
      <c r="L194">
        <v>239.71350000000001</v>
      </c>
    </row>
    <row r="195" spans="1:12" x14ac:dyDescent="0.2">
      <c r="A195" t="s">
        <v>61</v>
      </c>
      <c r="B195" t="s">
        <v>62</v>
      </c>
      <c r="C195" t="s">
        <v>63</v>
      </c>
      <c r="D195" s="9">
        <v>44793</v>
      </c>
      <c r="E195">
        <v>190</v>
      </c>
      <c r="F195">
        <v>19.090499999999999</v>
      </c>
      <c r="G195">
        <v>0</v>
      </c>
      <c r="H195" t="s">
        <v>64</v>
      </c>
      <c r="I195" t="s">
        <v>65</v>
      </c>
      <c r="J195">
        <v>14.118</v>
      </c>
      <c r="K195">
        <v>18.817499999999999</v>
      </c>
      <c r="L195">
        <v>3627.1950000000002</v>
      </c>
    </row>
    <row r="196" spans="1:12" x14ac:dyDescent="0.2">
      <c r="A196" t="s">
        <v>66</v>
      </c>
      <c r="B196" t="s">
        <v>67</v>
      </c>
      <c r="C196" t="s">
        <v>68</v>
      </c>
      <c r="D196" s="9">
        <v>44804</v>
      </c>
      <c r="E196">
        <v>16.149999999999999</v>
      </c>
      <c r="F196">
        <v>79.17</v>
      </c>
      <c r="G196">
        <v>0</v>
      </c>
      <c r="H196" t="s">
        <v>69</v>
      </c>
      <c r="I196" t="s">
        <v>70</v>
      </c>
      <c r="J196">
        <v>58.5</v>
      </c>
      <c r="K196">
        <v>78</v>
      </c>
      <c r="L196">
        <v>1278.5954999999999</v>
      </c>
    </row>
    <row r="197" spans="1:12" x14ac:dyDescent="0.2">
      <c r="A197" t="s">
        <v>71</v>
      </c>
      <c r="B197" t="s">
        <v>72</v>
      </c>
      <c r="C197" t="s">
        <v>73</v>
      </c>
      <c r="D197" s="9">
        <v>44808</v>
      </c>
      <c r="E197">
        <v>285</v>
      </c>
      <c r="F197">
        <v>91.045500000000004</v>
      </c>
      <c r="G197">
        <v>0</v>
      </c>
      <c r="H197" t="s">
        <v>50</v>
      </c>
      <c r="I197" t="s">
        <v>51</v>
      </c>
      <c r="J197">
        <v>67.275000000000006</v>
      </c>
      <c r="K197">
        <v>89.7</v>
      </c>
      <c r="L197">
        <v>25947.967499999999</v>
      </c>
    </row>
    <row r="198" spans="1:12" x14ac:dyDescent="0.2">
      <c r="A198" t="s">
        <v>52</v>
      </c>
      <c r="B198" t="s">
        <v>53</v>
      </c>
      <c r="C198" t="s">
        <v>54</v>
      </c>
      <c r="D198" s="9">
        <v>44820</v>
      </c>
      <c r="E198">
        <v>95</v>
      </c>
      <c r="F198">
        <v>25.233000000000001</v>
      </c>
      <c r="G198">
        <v>0</v>
      </c>
      <c r="H198" t="s">
        <v>59</v>
      </c>
      <c r="I198" t="s">
        <v>60</v>
      </c>
      <c r="J198">
        <v>18.641999999999999</v>
      </c>
      <c r="K198">
        <v>24.862500000000001</v>
      </c>
      <c r="L198">
        <v>2397.1350000000002</v>
      </c>
    </row>
    <row r="199" spans="1:12" x14ac:dyDescent="0.2">
      <c r="A199" t="s">
        <v>74</v>
      </c>
      <c r="B199" t="s">
        <v>75</v>
      </c>
      <c r="C199" t="s">
        <v>76</v>
      </c>
      <c r="D199" s="9">
        <v>44822</v>
      </c>
      <c r="E199">
        <v>190</v>
      </c>
      <c r="F199">
        <v>5.9085000000000001</v>
      </c>
      <c r="G199">
        <v>0</v>
      </c>
      <c r="H199" t="s">
        <v>77</v>
      </c>
      <c r="I199" t="s">
        <v>78</v>
      </c>
      <c r="J199">
        <v>3.9</v>
      </c>
      <c r="K199">
        <v>5.8304999999999998</v>
      </c>
      <c r="L199">
        <v>1122.615</v>
      </c>
    </row>
    <row r="200" spans="1:12" x14ac:dyDescent="0.2">
      <c r="A200" t="s">
        <v>79</v>
      </c>
      <c r="B200" t="s">
        <v>80</v>
      </c>
      <c r="C200" t="s">
        <v>81</v>
      </c>
      <c r="D200" s="9">
        <v>44822</v>
      </c>
      <c r="E200">
        <v>285</v>
      </c>
      <c r="F200">
        <v>91.045500000000004</v>
      </c>
      <c r="G200">
        <v>0</v>
      </c>
      <c r="H200" t="s">
        <v>50</v>
      </c>
      <c r="I200" t="s">
        <v>51</v>
      </c>
      <c r="J200">
        <v>67.275000000000006</v>
      </c>
      <c r="K200">
        <v>89.7</v>
      </c>
      <c r="L200">
        <v>25947.967499999999</v>
      </c>
    </row>
    <row r="201" spans="1:12" x14ac:dyDescent="0.2">
      <c r="A201" t="s">
        <v>74</v>
      </c>
      <c r="B201" t="s">
        <v>75</v>
      </c>
      <c r="C201" t="s">
        <v>76</v>
      </c>
      <c r="D201" s="9">
        <v>44822</v>
      </c>
      <c r="E201">
        <v>9.5</v>
      </c>
      <c r="F201">
        <v>49.491</v>
      </c>
      <c r="G201">
        <v>0</v>
      </c>
      <c r="H201" t="s">
        <v>82</v>
      </c>
      <c r="I201" t="s">
        <v>83</v>
      </c>
      <c r="J201">
        <v>36.5625</v>
      </c>
      <c r="K201">
        <v>48.75</v>
      </c>
      <c r="L201">
        <v>470.16449999999998</v>
      </c>
    </row>
    <row r="202" spans="1:12" x14ac:dyDescent="0.2">
      <c r="A202" t="s">
        <v>74</v>
      </c>
      <c r="B202" t="s">
        <v>75</v>
      </c>
      <c r="C202" t="s">
        <v>76</v>
      </c>
      <c r="D202" s="9">
        <v>44822</v>
      </c>
      <c r="E202">
        <v>9.5</v>
      </c>
      <c r="F202">
        <v>43.543500000000002</v>
      </c>
      <c r="G202">
        <v>0</v>
      </c>
      <c r="H202" t="s">
        <v>84</v>
      </c>
      <c r="I202" t="s">
        <v>85</v>
      </c>
      <c r="J202">
        <v>32.174999999999997</v>
      </c>
      <c r="K202">
        <v>42.9</v>
      </c>
      <c r="L202">
        <v>413.66325000000001</v>
      </c>
    </row>
    <row r="203" spans="1:12" x14ac:dyDescent="0.2">
      <c r="A203" t="s">
        <v>74</v>
      </c>
      <c r="B203" t="s">
        <v>75</v>
      </c>
      <c r="C203" t="s">
        <v>76</v>
      </c>
      <c r="D203" s="9">
        <v>44822</v>
      </c>
      <c r="E203">
        <v>9.5</v>
      </c>
      <c r="F203">
        <v>18.213000000000001</v>
      </c>
      <c r="G203">
        <v>0</v>
      </c>
      <c r="H203" t="s">
        <v>55</v>
      </c>
      <c r="I203" t="s">
        <v>56</v>
      </c>
      <c r="J203">
        <v>13.455</v>
      </c>
      <c r="K203">
        <v>17.940000000000001</v>
      </c>
      <c r="L203">
        <v>173.02350000000001</v>
      </c>
    </row>
    <row r="204" spans="1:12" x14ac:dyDescent="0.2">
      <c r="A204" t="s">
        <v>86</v>
      </c>
      <c r="B204" t="s">
        <v>87</v>
      </c>
      <c r="C204" t="s">
        <v>88</v>
      </c>
      <c r="D204" s="9">
        <v>44822</v>
      </c>
      <c r="E204">
        <v>19</v>
      </c>
      <c r="F204">
        <v>6.9225000000000003</v>
      </c>
      <c r="G204">
        <v>0</v>
      </c>
      <c r="H204" t="s">
        <v>36</v>
      </c>
      <c r="I204" t="s">
        <v>37</v>
      </c>
      <c r="J204">
        <v>5.85</v>
      </c>
      <c r="K204">
        <v>6.8250000000000002</v>
      </c>
      <c r="L204">
        <v>131.5275</v>
      </c>
    </row>
    <row r="205" spans="1:12" x14ac:dyDescent="0.2">
      <c r="A205" t="s">
        <v>86</v>
      </c>
      <c r="B205" t="s">
        <v>87</v>
      </c>
      <c r="C205" t="s">
        <v>88</v>
      </c>
      <c r="D205" s="9">
        <v>44822</v>
      </c>
      <c r="E205">
        <v>47.5</v>
      </c>
      <c r="F205">
        <v>5.9085000000000001</v>
      </c>
      <c r="G205">
        <v>0</v>
      </c>
      <c r="H205" t="s">
        <v>77</v>
      </c>
      <c r="I205" t="s">
        <v>78</v>
      </c>
      <c r="J205">
        <v>3.9</v>
      </c>
      <c r="K205">
        <v>5.8304999999999998</v>
      </c>
      <c r="L205">
        <v>280.65375</v>
      </c>
    </row>
    <row r="206" spans="1:12" x14ac:dyDescent="0.2">
      <c r="A206" t="s">
        <v>89</v>
      </c>
      <c r="B206" t="s">
        <v>90</v>
      </c>
      <c r="C206" t="s">
        <v>91</v>
      </c>
      <c r="D206" s="9">
        <v>44822</v>
      </c>
      <c r="E206">
        <v>23.75</v>
      </c>
      <c r="F206">
        <v>35.6265</v>
      </c>
      <c r="G206">
        <v>0</v>
      </c>
      <c r="H206" t="s">
        <v>48</v>
      </c>
      <c r="I206" t="s">
        <v>49</v>
      </c>
      <c r="J206">
        <v>26.324999999999999</v>
      </c>
      <c r="K206">
        <v>35.1</v>
      </c>
      <c r="L206">
        <v>846.12937499999998</v>
      </c>
    </row>
    <row r="207" spans="1:12" x14ac:dyDescent="0.2">
      <c r="A207" t="s">
        <v>89</v>
      </c>
      <c r="B207" t="s">
        <v>90</v>
      </c>
      <c r="C207" t="s">
        <v>91</v>
      </c>
      <c r="D207" s="9">
        <v>44822</v>
      </c>
      <c r="E207">
        <v>23.75</v>
      </c>
      <c r="F207">
        <v>91.045500000000004</v>
      </c>
      <c r="G207">
        <v>0</v>
      </c>
      <c r="H207" t="s">
        <v>50</v>
      </c>
      <c r="I207" t="s">
        <v>51</v>
      </c>
      <c r="J207">
        <v>67.275000000000006</v>
      </c>
      <c r="K207">
        <v>89.7</v>
      </c>
      <c r="L207">
        <v>2162.3306250000001</v>
      </c>
    </row>
    <row r="208" spans="1:12" x14ac:dyDescent="0.2">
      <c r="A208" t="s">
        <v>89</v>
      </c>
      <c r="B208" t="s">
        <v>90</v>
      </c>
      <c r="C208" t="s">
        <v>91</v>
      </c>
      <c r="D208" s="9">
        <v>44822</v>
      </c>
      <c r="E208">
        <v>23.75</v>
      </c>
      <c r="F208">
        <v>5.9085000000000001</v>
      </c>
      <c r="G208">
        <v>0</v>
      </c>
      <c r="H208" t="s">
        <v>77</v>
      </c>
      <c r="I208" t="s">
        <v>78</v>
      </c>
      <c r="J208">
        <v>3.9</v>
      </c>
      <c r="K208">
        <v>5.8304999999999998</v>
      </c>
      <c r="L208">
        <v>140.326875</v>
      </c>
    </row>
    <row r="209" spans="1:26" x14ac:dyDescent="0.2">
      <c r="A209" t="s">
        <v>71</v>
      </c>
      <c r="B209" t="s">
        <v>72</v>
      </c>
      <c r="C209" t="s">
        <v>73</v>
      </c>
      <c r="D209" s="9">
        <v>44836</v>
      </c>
      <c r="E209">
        <v>47.5</v>
      </c>
      <c r="F209">
        <v>19.090499999999999</v>
      </c>
      <c r="G209">
        <v>0</v>
      </c>
      <c r="H209" t="s">
        <v>64</v>
      </c>
      <c r="I209" t="s">
        <v>65</v>
      </c>
      <c r="J209">
        <v>14.118</v>
      </c>
      <c r="K209">
        <v>18.817499999999999</v>
      </c>
      <c r="L209">
        <v>906.79875000000004</v>
      </c>
    </row>
    <row r="210" spans="1:26" x14ac:dyDescent="0.2">
      <c r="A210" t="s">
        <v>71</v>
      </c>
      <c r="B210" t="s">
        <v>72</v>
      </c>
      <c r="C210" t="s">
        <v>73</v>
      </c>
      <c r="D210" s="9">
        <v>44836</v>
      </c>
      <c r="E210">
        <v>47.5</v>
      </c>
      <c r="F210">
        <v>36.426000000000002</v>
      </c>
      <c r="G210">
        <v>0</v>
      </c>
      <c r="H210" t="s">
        <v>92</v>
      </c>
      <c r="I210" t="s">
        <v>93</v>
      </c>
      <c r="J210">
        <v>26.91</v>
      </c>
      <c r="K210">
        <v>35.880000000000003</v>
      </c>
      <c r="L210">
        <v>1730.2349999999999</v>
      </c>
    </row>
    <row r="211" spans="1:26" x14ac:dyDescent="0.2">
      <c r="A211" t="s">
        <v>94</v>
      </c>
      <c r="B211" t="s">
        <v>95</v>
      </c>
      <c r="C211" t="s">
        <v>96</v>
      </c>
      <c r="D211" s="9">
        <v>44834</v>
      </c>
      <c r="E211">
        <v>95</v>
      </c>
      <c r="F211">
        <v>38.590499999999999</v>
      </c>
      <c r="G211">
        <v>0</v>
      </c>
      <c r="H211" t="s">
        <v>97</v>
      </c>
      <c r="I211" t="s">
        <v>98</v>
      </c>
      <c r="J211">
        <v>28.528500000000001</v>
      </c>
      <c r="K211">
        <v>38.024999999999999</v>
      </c>
      <c r="L211">
        <v>3666.0974999999999</v>
      </c>
    </row>
    <row r="212" spans="1:26" x14ac:dyDescent="0.2">
      <c r="A212" t="s">
        <v>94</v>
      </c>
      <c r="B212" t="s">
        <v>95</v>
      </c>
      <c r="C212" t="s">
        <v>96</v>
      </c>
      <c r="D212" s="9">
        <v>44834</v>
      </c>
      <c r="E212">
        <v>47.5</v>
      </c>
      <c r="F212">
        <v>68.873999999999995</v>
      </c>
      <c r="G212">
        <v>0</v>
      </c>
      <c r="H212" t="s">
        <v>99</v>
      </c>
      <c r="I212" t="s">
        <v>100</v>
      </c>
      <c r="J212">
        <v>50.895000000000003</v>
      </c>
      <c r="K212">
        <v>67.86</v>
      </c>
      <c r="L212">
        <v>3271.5149999999999</v>
      </c>
    </row>
    <row r="213" spans="1:26" x14ac:dyDescent="0.2">
      <c r="A213" t="s">
        <v>66</v>
      </c>
      <c r="B213" t="s">
        <v>67</v>
      </c>
      <c r="C213" t="s">
        <v>68</v>
      </c>
      <c r="D213" s="9">
        <v>44837</v>
      </c>
      <c r="E213">
        <v>285</v>
      </c>
      <c r="F213">
        <v>27.709499999999998</v>
      </c>
      <c r="G213">
        <v>0</v>
      </c>
      <c r="H213" t="s">
        <v>34</v>
      </c>
      <c r="I213" t="s">
        <v>35</v>
      </c>
      <c r="J213">
        <v>20.475000000000001</v>
      </c>
      <c r="K213">
        <v>27.3</v>
      </c>
      <c r="L213">
        <v>7897.2075000000004</v>
      </c>
    </row>
    <row r="214" spans="1:26" x14ac:dyDescent="0.2">
      <c r="A214" t="s">
        <v>52</v>
      </c>
      <c r="B214" t="s">
        <v>53</v>
      </c>
      <c r="C214" t="s">
        <v>54</v>
      </c>
      <c r="D214" s="9">
        <v>44834</v>
      </c>
      <c r="E214">
        <v>23.75</v>
      </c>
      <c r="F214">
        <v>79.17</v>
      </c>
      <c r="G214">
        <v>0</v>
      </c>
      <c r="H214" t="s">
        <v>69</v>
      </c>
      <c r="I214" t="s">
        <v>70</v>
      </c>
      <c r="J214">
        <v>58.5</v>
      </c>
      <c r="K214">
        <v>78</v>
      </c>
      <c r="L214">
        <v>1880.2874999999999</v>
      </c>
    </row>
    <row r="215" spans="1:26" x14ac:dyDescent="0.2">
      <c r="A215" t="s">
        <v>52</v>
      </c>
      <c r="B215" t="s">
        <v>53</v>
      </c>
      <c r="C215" t="s">
        <v>54</v>
      </c>
      <c r="D215" s="9">
        <v>44834</v>
      </c>
      <c r="E215">
        <v>23.75</v>
      </c>
      <c r="F215">
        <v>18.213000000000001</v>
      </c>
      <c r="G215">
        <v>0</v>
      </c>
      <c r="H215" t="s">
        <v>55</v>
      </c>
      <c r="I215" t="s">
        <v>56</v>
      </c>
      <c r="J215">
        <v>13.455</v>
      </c>
      <c r="K215">
        <v>17.940000000000001</v>
      </c>
      <c r="L215">
        <v>432.55874999999997</v>
      </c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1:26" x14ac:dyDescent="0.2">
      <c r="A216" t="s">
        <v>101</v>
      </c>
      <c r="B216" t="s">
        <v>46</v>
      </c>
      <c r="C216" t="s">
        <v>102</v>
      </c>
      <c r="D216" s="9">
        <v>44834</v>
      </c>
      <c r="E216">
        <v>19</v>
      </c>
      <c r="F216">
        <v>19.7925</v>
      </c>
      <c r="G216">
        <v>0</v>
      </c>
      <c r="H216" t="s">
        <v>103</v>
      </c>
      <c r="I216" t="s">
        <v>104</v>
      </c>
      <c r="J216">
        <v>14.625</v>
      </c>
      <c r="K216">
        <v>19.5</v>
      </c>
      <c r="L216">
        <v>376.0575</v>
      </c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1:26" x14ac:dyDescent="0.2">
      <c r="A217" t="s">
        <v>105</v>
      </c>
      <c r="B217" t="s">
        <v>106</v>
      </c>
      <c r="C217" t="s">
        <v>107</v>
      </c>
      <c r="D217" s="9">
        <v>44834</v>
      </c>
      <c r="E217">
        <v>23.75</v>
      </c>
      <c r="F217">
        <v>42.256500000000003</v>
      </c>
      <c r="G217">
        <v>0</v>
      </c>
      <c r="H217" t="s">
        <v>108</v>
      </c>
      <c r="I217" t="s">
        <v>109</v>
      </c>
      <c r="J217">
        <v>31.2195</v>
      </c>
      <c r="K217">
        <v>41.6325</v>
      </c>
      <c r="L217">
        <v>1003.591875</v>
      </c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1:26" x14ac:dyDescent="0.2">
      <c r="A218" t="s">
        <v>105</v>
      </c>
      <c r="B218" t="s">
        <v>106</v>
      </c>
      <c r="C218" t="s">
        <v>107</v>
      </c>
      <c r="D218" s="9">
        <v>44834</v>
      </c>
      <c r="E218">
        <v>28.5</v>
      </c>
      <c r="F218">
        <v>19.090499999999999</v>
      </c>
      <c r="G218">
        <v>0</v>
      </c>
      <c r="H218" t="s">
        <v>64</v>
      </c>
      <c r="I218" t="s">
        <v>65</v>
      </c>
      <c r="J218">
        <v>14.118</v>
      </c>
      <c r="K218">
        <v>18.817499999999999</v>
      </c>
      <c r="L218">
        <v>544.07925</v>
      </c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1:26" x14ac:dyDescent="0.2">
      <c r="A219" t="s">
        <v>105</v>
      </c>
      <c r="B219" t="s">
        <v>106</v>
      </c>
      <c r="C219" t="s">
        <v>107</v>
      </c>
      <c r="D219" s="9">
        <v>44834</v>
      </c>
      <c r="E219">
        <v>28.5</v>
      </c>
      <c r="F219">
        <v>36.426000000000002</v>
      </c>
      <c r="G219">
        <v>0</v>
      </c>
      <c r="H219" t="s">
        <v>92</v>
      </c>
      <c r="I219" t="s">
        <v>93</v>
      </c>
      <c r="J219">
        <v>26.91</v>
      </c>
      <c r="K219">
        <v>35.880000000000003</v>
      </c>
      <c r="L219">
        <v>1038.1410000000001</v>
      </c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1:26" x14ac:dyDescent="0.2">
      <c r="A220" t="s">
        <v>66</v>
      </c>
      <c r="B220" t="s">
        <v>67</v>
      </c>
      <c r="C220" t="s">
        <v>68</v>
      </c>
      <c r="D220" s="9">
        <v>44832</v>
      </c>
      <c r="E220">
        <v>9.5</v>
      </c>
      <c r="F220">
        <v>25.233000000000001</v>
      </c>
      <c r="G220">
        <v>0</v>
      </c>
      <c r="H220" t="s">
        <v>59</v>
      </c>
      <c r="I220" t="s">
        <v>60</v>
      </c>
      <c r="J220">
        <v>18.641999999999999</v>
      </c>
      <c r="K220">
        <v>24.862500000000001</v>
      </c>
      <c r="L220">
        <v>239.71350000000001</v>
      </c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1:26" x14ac:dyDescent="0.2">
      <c r="A221" t="s">
        <v>57</v>
      </c>
      <c r="B221" t="s">
        <v>58</v>
      </c>
      <c r="C221" t="s">
        <v>40</v>
      </c>
      <c r="D221" s="9">
        <v>44834</v>
      </c>
      <c r="E221">
        <v>82.65</v>
      </c>
      <c r="F221">
        <v>27.709499999999998</v>
      </c>
      <c r="G221">
        <v>0</v>
      </c>
      <c r="H221" t="s">
        <v>34</v>
      </c>
      <c r="I221" t="s">
        <v>35</v>
      </c>
      <c r="J221">
        <v>20.475000000000001</v>
      </c>
      <c r="K221">
        <v>27.3</v>
      </c>
      <c r="L221">
        <v>2290.1901750000002</v>
      </c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1:26" x14ac:dyDescent="0.2">
      <c r="A222" t="s">
        <v>66</v>
      </c>
      <c r="B222" t="s">
        <v>67</v>
      </c>
      <c r="C222" t="s">
        <v>68</v>
      </c>
      <c r="D222" s="9">
        <v>44913</v>
      </c>
      <c r="E222">
        <v>28.5</v>
      </c>
      <c r="F222">
        <v>59.377499999999998</v>
      </c>
      <c r="G222">
        <v>0</v>
      </c>
      <c r="H222" t="s">
        <v>41</v>
      </c>
      <c r="I222" t="s">
        <v>42</v>
      </c>
      <c r="J222">
        <v>43.875</v>
      </c>
      <c r="K222">
        <v>58.5</v>
      </c>
      <c r="L222">
        <v>1692.25875</v>
      </c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1:26" x14ac:dyDescent="0.2">
      <c r="A223" t="s">
        <v>66</v>
      </c>
      <c r="B223" t="s">
        <v>67</v>
      </c>
      <c r="C223" t="s">
        <v>68</v>
      </c>
      <c r="D223" s="9">
        <v>44913</v>
      </c>
      <c r="E223">
        <v>28.5</v>
      </c>
      <c r="F223">
        <v>104.91</v>
      </c>
      <c r="G223">
        <v>0</v>
      </c>
      <c r="H223" t="s">
        <v>43</v>
      </c>
      <c r="I223" t="s">
        <v>44</v>
      </c>
      <c r="J223">
        <v>77.512500000000003</v>
      </c>
      <c r="K223">
        <v>103.35</v>
      </c>
      <c r="L223">
        <v>2989.9349999999999</v>
      </c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1:26" x14ac:dyDescent="0.2">
      <c r="A224" t="s">
        <v>57</v>
      </c>
      <c r="B224" t="s">
        <v>58</v>
      </c>
      <c r="C224" t="s">
        <v>40</v>
      </c>
      <c r="D224" s="9">
        <v>44895</v>
      </c>
      <c r="E224">
        <v>38</v>
      </c>
      <c r="F224">
        <v>77.200500000000005</v>
      </c>
      <c r="G224">
        <v>0</v>
      </c>
      <c r="H224" t="s">
        <v>110</v>
      </c>
      <c r="I224" t="s">
        <v>111</v>
      </c>
      <c r="J224">
        <v>57.037500000000001</v>
      </c>
      <c r="K224">
        <v>76.05</v>
      </c>
      <c r="L224">
        <v>2933.6190000000001</v>
      </c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1:26" x14ac:dyDescent="0.2">
      <c r="A225" t="s">
        <v>105</v>
      </c>
      <c r="B225" t="s">
        <v>106</v>
      </c>
      <c r="C225" t="s">
        <v>107</v>
      </c>
      <c r="D225" s="9">
        <v>44895</v>
      </c>
      <c r="E225">
        <v>85.5</v>
      </c>
      <c r="F225">
        <v>49.491</v>
      </c>
      <c r="G225">
        <v>0</v>
      </c>
      <c r="H225" t="s">
        <v>82</v>
      </c>
      <c r="I225" t="s">
        <v>83</v>
      </c>
      <c r="J225">
        <v>36.5625</v>
      </c>
      <c r="K225">
        <v>48.75</v>
      </c>
      <c r="L225">
        <v>4231.4804999999997</v>
      </c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1:26" x14ac:dyDescent="0.2">
      <c r="A226" t="s">
        <v>101</v>
      </c>
      <c r="B226" t="s">
        <v>46</v>
      </c>
      <c r="C226" t="s">
        <v>102</v>
      </c>
      <c r="D226" s="9">
        <v>44895</v>
      </c>
      <c r="E226">
        <v>28.5</v>
      </c>
      <c r="F226">
        <v>43.543500000000002</v>
      </c>
      <c r="G226">
        <v>0</v>
      </c>
      <c r="H226" t="s">
        <v>84</v>
      </c>
      <c r="I226" t="s">
        <v>85</v>
      </c>
      <c r="J226">
        <v>32.174999999999997</v>
      </c>
      <c r="K226">
        <v>42.9</v>
      </c>
      <c r="L226">
        <v>1240.98975</v>
      </c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1:26" x14ac:dyDescent="0.2">
      <c r="A227" t="s">
        <v>52</v>
      </c>
      <c r="B227" t="s">
        <v>53</v>
      </c>
      <c r="C227" t="s">
        <v>54</v>
      </c>
      <c r="D227" s="9">
        <v>44895</v>
      </c>
      <c r="E227">
        <v>38</v>
      </c>
      <c r="F227">
        <v>25.233000000000001</v>
      </c>
      <c r="G227">
        <v>0</v>
      </c>
      <c r="H227" t="s">
        <v>59</v>
      </c>
      <c r="I227" t="s">
        <v>60</v>
      </c>
      <c r="J227">
        <v>18.641999999999999</v>
      </c>
      <c r="K227">
        <v>24.862500000000001</v>
      </c>
      <c r="L227">
        <v>958.85400000000004</v>
      </c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spans="1:26" x14ac:dyDescent="0.2">
      <c r="A228" t="s">
        <v>66</v>
      </c>
      <c r="B228" t="s">
        <v>67</v>
      </c>
      <c r="C228" t="s">
        <v>68</v>
      </c>
      <c r="D228" s="9">
        <v>44898</v>
      </c>
      <c r="E228">
        <v>38</v>
      </c>
      <c r="F228">
        <v>25.233000000000001</v>
      </c>
      <c r="G228">
        <v>0</v>
      </c>
      <c r="H228" t="s">
        <v>59</v>
      </c>
      <c r="I228" t="s">
        <v>60</v>
      </c>
      <c r="J228">
        <v>18.641999999999999</v>
      </c>
      <c r="K228">
        <v>24.862500000000001</v>
      </c>
      <c r="L228">
        <v>958.85400000000004</v>
      </c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spans="1:26" x14ac:dyDescent="0.2">
      <c r="A229" t="s">
        <v>94</v>
      </c>
      <c r="B229" t="s">
        <v>95</v>
      </c>
      <c r="C229" t="s">
        <v>96</v>
      </c>
      <c r="D229" s="9">
        <v>44895</v>
      </c>
      <c r="E229">
        <v>9.5</v>
      </c>
      <c r="F229">
        <v>19.090499999999999</v>
      </c>
      <c r="G229">
        <v>0</v>
      </c>
      <c r="H229" t="s">
        <v>64</v>
      </c>
      <c r="I229" t="s">
        <v>65</v>
      </c>
      <c r="J229">
        <v>14.118</v>
      </c>
      <c r="K229">
        <v>18.817499999999999</v>
      </c>
      <c r="L229">
        <v>181.35974999999999</v>
      </c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spans="1:26" x14ac:dyDescent="0.2">
      <c r="A230" t="s">
        <v>71</v>
      </c>
      <c r="B230" t="s">
        <v>72</v>
      </c>
      <c r="C230" t="s">
        <v>73</v>
      </c>
      <c r="D230" s="9">
        <v>44897</v>
      </c>
      <c r="E230">
        <v>4.75</v>
      </c>
      <c r="F230">
        <v>91.045500000000004</v>
      </c>
      <c r="G230">
        <v>0</v>
      </c>
      <c r="H230" t="s">
        <v>50</v>
      </c>
      <c r="I230" t="s">
        <v>51</v>
      </c>
      <c r="J230">
        <v>67.275000000000006</v>
      </c>
      <c r="K230">
        <v>89.7</v>
      </c>
      <c r="L230">
        <v>432.46612499999998</v>
      </c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spans="1:26" x14ac:dyDescent="0.2">
      <c r="A231" t="s">
        <v>89</v>
      </c>
      <c r="B231" t="s">
        <v>90</v>
      </c>
      <c r="C231" t="s">
        <v>91</v>
      </c>
      <c r="D231" s="9">
        <v>44883</v>
      </c>
      <c r="E231">
        <v>38</v>
      </c>
      <c r="F231">
        <v>36.426000000000002</v>
      </c>
      <c r="G231">
        <v>0</v>
      </c>
      <c r="H231" t="s">
        <v>92</v>
      </c>
      <c r="I231" t="s">
        <v>93</v>
      </c>
      <c r="J231">
        <v>26.91</v>
      </c>
      <c r="K231">
        <v>35.880000000000003</v>
      </c>
      <c r="L231">
        <v>1384.1880000000001</v>
      </c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spans="1:26" x14ac:dyDescent="0.2">
      <c r="A232" t="s">
        <v>86</v>
      </c>
      <c r="B232" t="s">
        <v>87</v>
      </c>
      <c r="C232" t="s">
        <v>88</v>
      </c>
      <c r="D232" s="9">
        <v>44883</v>
      </c>
      <c r="E232">
        <v>19</v>
      </c>
      <c r="F232">
        <v>79.17</v>
      </c>
      <c r="G232">
        <v>0</v>
      </c>
      <c r="H232" t="s">
        <v>69</v>
      </c>
      <c r="I232" t="s">
        <v>70</v>
      </c>
      <c r="J232">
        <v>58.5</v>
      </c>
      <c r="K232">
        <v>78</v>
      </c>
      <c r="L232">
        <v>1504.23</v>
      </c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spans="1:26" x14ac:dyDescent="0.2">
      <c r="A233" t="s">
        <v>74</v>
      </c>
      <c r="B233" t="s">
        <v>75</v>
      </c>
      <c r="C233" t="s">
        <v>76</v>
      </c>
      <c r="D233" s="9">
        <v>44883</v>
      </c>
      <c r="E233">
        <v>14.25</v>
      </c>
      <c r="F233">
        <v>6.9225000000000003</v>
      </c>
      <c r="G233">
        <v>0</v>
      </c>
      <c r="H233" t="s">
        <v>36</v>
      </c>
      <c r="I233" t="s">
        <v>37</v>
      </c>
      <c r="J233">
        <v>5.85</v>
      </c>
      <c r="K233">
        <v>6.8250000000000002</v>
      </c>
      <c r="L233">
        <v>98.645624999999995</v>
      </c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spans="1:26" x14ac:dyDescent="0.2">
      <c r="A234" t="s">
        <v>74</v>
      </c>
      <c r="B234" t="s">
        <v>75</v>
      </c>
      <c r="C234" t="s">
        <v>76</v>
      </c>
      <c r="D234" s="9">
        <v>44883</v>
      </c>
      <c r="E234">
        <v>19</v>
      </c>
      <c r="F234">
        <v>19.7925</v>
      </c>
      <c r="G234">
        <v>0</v>
      </c>
      <c r="H234" t="s">
        <v>112</v>
      </c>
      <c r="I234" t="s">
        <v>113</v>
      </c>
      <c r="J234">
        <v>14.625</v>
      </c>
      <c r="K234">
        <v>19.5</v>
      </c>
      <c r="L234">
        <v>376.0575</v>
      </c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spans="1:26" x14ac:dyDescent="0.2">
      <c r="A235" t="s">
        <v>52</v>
      </c>
      <c r="B235" t="s">
        <v>53</v>
      </c>
      <c r="C235" t="s">
        <v>54</v>
      </c>
      <c r="D235" s="9">
        <v>44859</v>
      </c>
      <c r="E235">
        <v>38</v>
      </c>
      <c r="F235">
        <v>68.873999999999995</v>
      </c>
      <c r="G235">
        <v>0</v>
      </c>
      <c r="H235" t="s">
        <v>99</v>
      </c>
      <c r="I235" t="s">
        <v>100</v>
      </c>
      <c r="J235">
        <v>50.895000000000003</v>
      </c>
      <c r="K235">
        <v>67.86</v>
      </c>
      <c r="L235">
        <v>2617.212</v>
      </c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spans="1:26" x14ac:dyDescent="0.2">
      <c r="A236" t="s">
        <v>61</v>
      </c>
      <c r="B236" t="s">
        <v>62</v>
      </c>
      <c r="C236" t="s">
        <v>63</v>
      </c>
      <c r="D236" s="9">
        <v>44854</v>
      </c>
      <c r="E236">
        <v>47.5</v>
      </c>
      <c r="F236">
        <v>19.7925</v>
      </c>
      <c r="G236">
        <v>0</v>
      </c>
      <c r="H236" t="s">
        <v>114</v>
      </c>
      <c r="I236" t="s">
        <v>115</v>
      </c>
      <c r="J236">
        <v>14.625</v>
      </c>
      <c r="K236">
        <v>19.5</v>
      </c>
      <c r="L236">
        <v>940.14374999999995</v>
      </c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spans="1:26" x14ac:dyDescent="0.2">
      <c r="A237" t="s">
        <v>61</v>
      </c>
      <c r="B237" t="s">
        <v>62</v>
      </c>
      <c r="C237" t="s">
        <v>63</v>
      </c>
      <c r="D237" s="9">
        <v>44854</v>
      </c>
      <c r="E237">
        <v>2.85</v>
      </c>
      <c r="F237">
        <v>79.17</v>
      </c>
      <c r="G237">
        <v>0</v>
      </c>
      <c r="H237" t="s">
        <v>69</v>
      </c>
      <c r="I237" t="s">
        <v>70</v>
      </c>
      <c r="J237">
        <v>58.5</v>
      </c>
      <c r="K237">
        <v>78</v>
      </c>
      <c r="L237">
        <v>225.6345</v>
      </c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spans="1:26" x14ac:dyDescent="0.2">
      <c r="A238" t="s">
        <v>38</v>
      </c>
      <c r="B238" t="s">
        <v>39</v>
      </c>
      <c r="C238" t="s">
        <v>40</v>
      </c>
      <c r="D238" s="9">
        <v>44851</v>
      </c>
      <c r="E238">
        <v>38</v>
      </c>
      <c r="F238">
        <v>160.32900000000001</v>
      </c>
      <c r="G238">
        <v>0</v>
      </c>
      <c r="H238" t="s">
        <v>82</v>
      </c>
      <c r="I238" t="s">
        <v>116</v>
      </c>
      <c r="J238">
        <v>118.46250000000001</v>
      </c>
      <c r="K238">
        <v>157.94999999999999</v>
      </c>
      <c r="L238">
        <v>6092.5020000000004</v>
      </c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spans="1:26" x14ac:dyDescent="0.2">
      <c r="A239" t="s">
        <v>38</v>
      </c>
      <c r="B239" t="s">
        <v>39</v>
      </c>
      <c r="C239" t="s">
        <v>40</v>
      </c>
      <c r="D239" s="9">
        <v>44851</v>
      </c>
      <c r="E239">
        <v>38</v>
      </c>
      <c r="F239">
        <v>13.8645</v>
      </c>
      <c r="G239">
        <v>0</v>
      </c>
      <c r="H239" t="s">
        <v>117</v>
      </c>
      <c r="I239" t="s">
        <v>118</v>
      </c>
      <c r="J239">
        <v>10.237500000000001</v>
      </c>
      <c r="K239">
        <v>13.65</v>
      </c>
      <c r="L239">
        <v>526.851</v>
      </c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spans="1:26" x14ac:dyDescent="0.2">
      <c r="A240" t="s">
        <v>38</v>
      </c>
      <c r="B240" t="s">
        <v>39</v>
      </c>
      <c r="C240" t="s">
        <v>40</v>
      </c>
      <c r="D240" s="9">
        <v>44854</v>
      </c>
      <c r="E240">
        <v>9.5</v>
      </c>
      <c r="F240">
        <v>75.211500000000001</v>
      </c>
      <c r="G240">
        <v>0</v>
      </c>
      <c r="H240" t="s">
        <v>119</v>
      </c>
      <c r="I240" t="s">
        <v>120</v>
      </c>
      <c r="J240">
        <v>55.575000000000003</v>
      </c>
      <c r="K240">
        <v>74.099999999999994</v>
      </c>
      <c r="L240">
        <v>714.50924999999995</v>
      </c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spans="1:26" x14ac:dyDescent="0.2">
      <c r="A241" t="s">
        <v>61</v>
      </c>
      <c r="B241" t="s">
        <v>62</v>
      </c>
      <c r="C241" t="s">
        <v>63</v>
      </c>
      <c r="D241" s="9">
        <v>44854</v>
      </c>
      <c r="E241">
        <v>23.75</v>
      </c>
      <c r="F241">
        <v>5.9085000000000001</v>
      </c>
      <c r="G241">
        <v>0</v>
      </c>
      <c r="H241" t="s">
        <v>77</v>
      </c>
      <c r="I241" t="s">
        <v>78</v>
      </c>
      <c r="J241">
        <v>3.9</v>
      </c>
      <c r="K241">
        <v>5.8304999999999998</v>
      </c>
      <c r="L241">
        <v>140.326875</v>
      </c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spans="1:26" x14ac:dyDescent="0.2">
      <c r="A242" t="s">
        <v>61</v>
      </c>
      <c r="B242" t="s">
        <v>62</v>
      </c>
      <c r="C242" t="s">
        <v>63</v>
      </c>
      <c r="D242" s="9">
        <v>44854</v>
      </c>
      <c r="E242">
        <v>17.100000000000001</v>
      </c>
      <c r="F242">
        <v>75.211500000000001</v>
      </c>
      <c r="G242">
        <v>0</v>
      </c>
      <c r="H242" t="s">
        <v>119</v>
      </c>
      <c r="I242" t="s">
        <v>120</v>
      </c>
      <c r="J242">
        <v>55.575000000000003</v>
      </c>
      <c r="K242">
        <v>74.099999999999994</v>
      </c>
      <c r="L242">
        <v>1286.1166499999999</v>
      </c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spans="1:26" x14ac:dyDescent="0.2">
      <c r="A243" t="s">
        <v>121</v>
      </c>
      <c r="B243" t="s">
        <v>122</v>
      </c>
      <c r="C243" t="s">
        <v>123</v>
      </c>
      <c r="D243" s="9">
        <v>44841</v>
      </c>
      <c r="E243">
        <v>9.5</v>
      </c>
      <c r="F243">
        <v>35.6265</v>
      </c>
      <c r="G243">
        <v>0</v>
      </c>
      <c r="H243" t="s">
        <v>48</v>
      </c>
      <c r="I243" t="s">
        <v>49</v>
      </c>
      <c r="J243">
        <v>26.324999999999999</v>
      </c>
      <c r="K243">
        <v>35.1</v>
      </c>
      <c r="L243">
        <v>338.45175</v>
      </c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spans="1:26" x14ac:dyDescent="0.2">
      <c r="A244" t="s">
        <v>121</v>
      </c>
      <c r="B244" t="s">
        <v>122</v>
      </c>
      <c r="C244" t="s">
        <v>123</v>
      </c>
      <c r="D244" s="9">
        <v>44841</v>
      </c>
      <c r="E244">
        <v>47.5</v>
      </c>
      <c r="F244">
        <v>3.8610000000000002</v>
      </c>
      <c r="G244">
        <v>0</v>
      </c>
      <c r="H244" t="s">
        <v>124</v>
      </c>
      <c r="I244" t="s">
        <v>125</v>
      </c>
      <c r="J244">
        <v>1.95</v>
      </c>
      <c r="K244">
        <v>3.8025000000000002</v>
      </c>
      <c r="L244">
        <v>183.39750000000001</v>
      </c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spans="1:26" x14ac:dyDescent="0.2">
      <c r="A245" t="s">
        <v>71</v>
      </c>
      <c r="B245" t="s">
        <v>72</v>
      </c>
      <c r="C245" t="s">
        <v>73</v>
      </c>
      <c r="D245" s="9">
        <v>44845</v>
      </c>
      <c r="E245">
        <v>42.75</v>
      </c>
      <c r="F245">
        <v>3.8610000000000002</v>
      </c>
      <c r="G245">
        <v>0</v>
      </c>
      <c r="H245" t="s">
        <v>124</v>
      </c>
      <c r="I245" t="s">
        <v>125</v>
      </c>
      <c r="J245">
        <v>1.95</v>
      </c>
      <c r="K245">
        <v>3.8025000000000002</v>
      </c>
      <c r="L245">
        <v>165.05775</v>
      </c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spans="1:26" x14ac:dyDescent="0.2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spans="1:26" x14ac:dyDescent="0.2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spans="1:26" x14ac:dyDescent="0.2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spans="1:26" x14ac:dyDescent="0.2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spans="1:26" x14ac:dyDescent="0.2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spans="1:26" x14ac:dyDescent="0.2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spans="1:26" x14ac:dyDescent="0.2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spans="1:26" x14ac:dyDescent="0.2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spans="1:26" x14ac:dyDescent="0.2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spans="1:26" x14ac:dyDescent="0.2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11955C-BA91-4CB3-93D9-48E741C62BDC}">
  <dimension ref="A1"/>
  <sheetViews>
    <sheetView workbookViewId="0"/>
  </sheetViews>
  <sheetFormatPr defaultRowHeight="15" x14ac:dyDescent="0.2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 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 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 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1BC7FED0F4D504F8B759EA27C8E105B" ma:contentTypeVersion="17" ma:contentTypeDescription="Create a new document." ma:contentTypeScope="" ma:versionID="f3d43ff1106cd5bd5661a04a5ebfcffb">
  <xsd:schema xmlns:xsd="http://www.w3.org/2001/XMLSchema" xmlns:xs="http://www.w3.org/2001/XMLSchema" xmlns:p="http://schemas.microsoft.com/office/2006/metadata/properties" xmlns:ns3="dfb01dc6-817a-45ab-8648-223bdf94a4eb" xmlns:ns4="52598706-196e-4429-9b33-162fd15be063" targetNamespace="http://schemas.microsoft.com/office/2006/metadata/properties" ma:root="true" ma:fieldsID="7203926a78ceb3ad60a6da0aa1fd634c" ns3:_="" ns4:_="">
    <xsd:import namespace="dfb01dc6-817a-45ab-8648-223bdf94a4eb"/>
    <xsd:import namespace="52598706-196e-4429-9b33-162fd15be063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_activity" minOccurs="0"/>
                <xsd:element ref="ns3:MediaServiceSearchProperties" minOccurs="0"/>
                <xsd:element ref="ns3:MediaServiceDateTaken" minOccurs="0"/>
                <xsd:element ref="ns3:MediaServiceObjectDetectorVersions" minOccurs="0"/>
                <xsd:element ref="ns3:MediaServiceAutoTags" minOccurs="0"/>
                <xsd:element ref="ns3:MediaLengthInSecond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System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b01dc6-817a-45ab-8648-223bdf94a4e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_activity" ma:index="15" nillable="true" ma:displayName="_activity" ma:hidden="true" ma:internalName="_activity">
      <xsd:simpleType>
        <xsd:restriction base="dms:Note"/>
      </xsd:simpleType>
    </xsd:element>
    <xsd:element name="MediaServiceSearchProperties" ma:index="16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AutoTags" ma:index="19" nillable="true" ma:displayName="Tags" ma:internalName="MediaServiceAutoTags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2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ystemTags" ma:index="24" nillable="true" ma:displayName="MediaServiceSystemTags" ma:hidden="true" ma:internalName="MediaServiceSystemTag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2598706-196e-4429-9b33-162fd15be063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dfb01dc6-817a-45ab-8648-223bdf94a4eb" xsi:nil="true"/>
  </documentManagement>
</p:properties>
</file>

<file path=customXml/itemProps1.xml><?xml version="1.0" encoding="utf-8"?>
<ds:datastoreItem xmlns:ds="http://schemas.openxmlformats.org/officeDocument/2006/customXml" ds:itemID="{D915D6D5-215D-48D9-BC1D-694F0DA6E7AA}">
  <ds:schemaRefs>
    <ds:schemaRef ds:uri="http://schemas.microsoft.com/office/2006/metadata/contentType"/>
    <ds:schemaRef ds:uri="http://schemas.microsoft.com/office/2006/metadata/properties/metaAttributes"/>
    <ds:schemaRef ds:uri="http://www.w3.org/2000/xmlns/"/>
    <ds:schemaRef ds:uri="http://www.w3.org/2001/XMLSchema"/>
    <ds:schemaRef ds:uri="dfb01dc6-817a-45ab-8648-223bdf94a4eb"/>
    <ds:schemaRef ds:uri="52598706-196e-4429-9b33-162fd15be063"/>
  </ds:schemaRefs>
</ds:datastoreItem>
</file>

<file path=customXml/itemProps2.xml><?xml version="1.0" encoding="utf-8"?>
<ds:datastoreItem xmlns:ds="http://schemas.openxmlformats.org/officeDocument/2006/customXml" ds:itemID="{C6C23D96-7BDB-4B83-A74B-4C67A67AF57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3300719-E832-45AB-AFDE-255BEB7FF8B2}">
  <ds:schemaRefs>
    <ds:schemaRef ds:uri="http://schemas.microsoft.com/office/2006/metadata/properties"/>
    <ds:schemaRef ds:uri="http://www.w3.org/2000/xmlns/"/>
    <ds:schemaRef ds:uri="dfb01dc6-817a-45ab-8648-223bdf94a4eb"/>
    <ds:schemaRef ds:uri="http://www.w3.org/2001/XMLSchema-instan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Excel Android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home page</vt:lpstr>
      <vt:lpstr>costs and profits</vt:lpstr>
      <vt:lpstr>inflation</vt:lpstr>
      <vt:lpstr>Sheet1</vt:lpstr>
      <vt:lpstr>Sheet3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Alexander Waters</dc:creator>
  <cp:keywords/>
  <dc:description/>
  <cp:lastModifiedBy>Alex Waters (5235283)</cp:lastModifiedBy>
  <cp:revision/>
  <dcterms:created xsi:type="dcterms:W3CDTF">2024-06-05T08:08:49Z</dcterms:created>
  <dcterms:modified xsi:type="dcterms:W3CDTF">2024-06-14T12:18:37Z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0x01010071BC7FED0F4D504F8B759EA27C8E105B</vt:lpwstr>
  </property>
</Properties>
</file>